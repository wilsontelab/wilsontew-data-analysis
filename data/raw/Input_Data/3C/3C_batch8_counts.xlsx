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nmk\University of Michigan Dropbox\MED-WILSONTELAB\wilsontelab box\Common\Projects\Yeast Aim 3\3C Sequencing Data\"/>
    </mc:Choice>
  </mc:AlternateContent>
  <xr:revisionPtr revIDLastSave="0" documentId="13_ncr:1_{39EC279D-9697-4F73-BD3A-AC9E24E4417C}" xr6:coauthVersionLast="47" xr6:coauthVersionMax="47" xr10:uidLastSave="{00000000-0000-0000-0000-000000000000}"/>
  <bookViews>
    <workbookView xWindow="-120" yWindow="-120" windowWidth="29040" windowHeight="15720" activeTab="1" xr2:uid="{4C299D59-5A68-4B0F-980B-29A6212B5F4E}"/>
  </bookViews>
  <sheets>
    <sheet name="Sheet1" sheetId="1" r:id="rId1"/>
    <sheet name="CIS" sheetId="2" r:id="rId2"/>
    <sheet name="TRA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3" i="3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3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" i="3"/>
  <c r="K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3" i="2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I14" i="1"/>
  <c r="H14" i="1"/>
  <c r="I13" i="1"/>
  <c r="H13" i="1"/>
  <c r="I12" i="1"/>
  <c r="H12" i="1"/>
  <c r="I11" i="1"/>
  <c r="H11" i="1"/>
  <c r="I10" i="1"/>
  <c r="H10" i="1"/>
  <c r="I9" i="1"/>
  <c r="H9" i="1"/>
  <c r="H8" i="1"/>
  <c r="I8" i="1"/>
  <c r="H6" i="1"/>
  <c r="I7" i="1"/>
  <c r="H7" i="1"/>
  <c r="I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<sst xmlns="http://schemas.openxmlformats.org/spreadsheetml/2006/main" count="655" uniqueCount="124">
  <si>
    <t>CIS_A_to_B_DSB1_Chr12_L01</t>
  </si>
  <si>
    <t>CIS_A_to_B_DSB1_Chr12_L05</t>
  </si>
  <si>
    <t>CIS_A_to_B_DSB1_Chr12_L07</t>
  </si>
  <si>
    <t>CIS_A_to_B_DSB1_Chr12_L12</t>
  </si>
  <si>
    <t>CIS_A_to_B_DSB1_Chr15_L01</t>
  </si>
  <si>
    <t>CIS_A_to_B_DSB1_Chr15_L04</t>
  </si>
  <si>
    <t>CIS_A_to_B_DSB1_Chr15_L15</t>
  </si>
  <si>
    <t>CIS_A_to_B_DSB1_Chr15_L17_2</t>
  </si>
  <si>
    <t>CIS_A_to_B_DSB1_Chr15_L18</t>
  </si>
  <si>
    <t>CIS_A_to_B_DSB1_Chr3_L02</t>
  </si>
  <si>
    <t>CIS_A_to_B_DSB1_Chr3_L03</t>
  </si>
  <si>
    <t>CIS_A_to_B_DSB1_Chr3_L04</t>
  </si>
  <si>
    <t>CIS_A_to_B_DSB1_Chr4_L01</t>
  </si>
  <si>
    <t>CIS_A_to_B_DSB1_Chr4_L03</t>
  </si>
  <si>
    <t>CIS_A_to_B_DSB1_Chr4_L06_2</t>
  </si>
  <si>
    <t>CIS_A_to_B_DSB1_Chr4_L10_2</t>
  </si>
  <si>
    <t>CIS_A_to_B_DSB1_Chr4_L12_2</t>
  </si>
  <si>
    <t>CIS_A_to_B_DSB1_Chr4_L13</t>
  </si>
  <si>
    <t>CIS_A_to_B_DSB1_Chr4_L15_2</t>
  </si>
  <si>
    <t>CIS_A_to_B_DSB1_Chr7_990K</t>
  </si>
  <si>
    <t>CIS_A_to_B_DSB1_Chr7_L03</t>
  </si>
  <si>
    <t>CIS_A_to_B_DSB1_Chr7_L06</t>
  </si>
  <si>
    <t>CIS_A_to_B_DSB1_Chr7_L09</t>
  </si>
  <si>
    <t>CIS_A_to_B_DSB1_UNCUTTABLE</t>
  </si>
  <si>
    <t>CIS_C_to_D_DSB2_UNCUTTABLE</t>
  </si>
  <si>
    <t>LIGATED_A_to_C</t>
  </si>
  <si>
    <t>LIGATED_B_to_D</t>
  </si>
  <si>
    <t>TRANS_A_to_D_Chr12_L01</t>
  </si>
  <si>
    <t>TRANS_A_to_D_Chr12_L05</t>
  </si>
  <si>
    <t>TRANS_A_to_D_Chr12_L07</t>
  </si>
  <si>
    <t>TRANS_A_to_D_Chr12_L12</t>
  </si>
  <si>
    <t>TRANS_A_to_D_Chr15_L01</t>
  </si>
  <si>
    <t>TRANS_A_to_D_Chr15_L04</t>
  </si>
  <si>
    <t>TRANS_A_to_D_Chr15_L15</t>
  </si>
  <si>
    <t>TRANS_A_to_D_Chr15_L17_2</t>
  </si>
  <si>
    <t>TRANS_A_to_D_Chr15_L18</t>
  </si>
  <si>
    <t>TRANS_A_to_D_Chr3_L02</t>
  </si>
  <si>
    <t>TRANS_A_to_D_Chr3_L03</t>
  </si>
  <si>
    <t>TRANS_A_to_D_Chr3_L04</t>
  </si>
  <si>
    <t>TRANS_A_to_D_Chr4_L01</t>
  </si>
  <si>
    <t>TRANS_A_to_D_Chr4_L03</t>
  </si>
  <si>
    <t>TRANS_A_to_D_Chr4_L06_2</t>
  </si>
  <si>
    <t>TRANS_A_to_D_Chr4_L10_2</t>
  </si>
  <si>
    <t>TRANS_A_to_D_Chr4_L12_2</t>
  </si>
  <si>
    <t>TRANS_A_to_D_Chr4_L13</t>
  </si>
  <si>
    <t>TRANS_A_to_D_Chr4_L15_2</t>
  </si>
  <si>
    <t>TRANS_A_to_D_Chr7_990K</t>
  </si>
  <si>
    <t>TRANS_A_to_D_Chr7_L03</t>
  </si>
  <si>
    <t>TRANS_A_to_D_Chr7_L06</t>
  </si>
  <si>
    <t>TRANS_A_to_D_Chr7_L09</t>
  </si>
  <si>
    <t>TRANS_A_to_D_UNCUTTABLE</t>
  </si>
  <si>
    <t>TRANS_C_to_B_Chr12_L01</t>
  </si>
  <si>
    <t>TRANS_C_to_B_Chr12_L05</t>
  </si>
  <si>
    <t>TRANS_C_to_B_Chr12_L07</t>
  </si>
  <si>
    <t>TRANS_C_to_B_Chr12_L12</t>
  </si>
  <si>
    <t>TRANS_C_to_B_Chr15_L01</t>
  </si>
  <si>
    <t>TRANS_C_to_B_Chr15_L04</t>
  </si>
  <si>
    <t>TRANS_C_to_B_Chr15_L15</t>
  </si>
  <si>
    <t>TRANS_C_to_B_Chr3_L02</t>
  </si>
  <si>
    <t>TRANS_C_to_B_Chr3_L03</t>
  </si>
  <si>
    <t>TRANS_C_to_B_Chr3_L04</t>
  </si>
  <si>
    <t>TRANS_C_to_B_Chr4_L01</t>
  </si>
  <si>
    <t>TRANS_C_to_B_Chr4_L03</t>
  </si>
  <si>
    <t>TRANS_C_to_B_Chr4_L06_2</t>
  </si>
  <si>
    <t>TRANS_C_to_B_Chr4_L10_2</t>
  </si>
  <si>
    <t>TRANS_C_to_B_Chr4_L12_2</t>
  </si>
  <si>
    <t>TRANS_C_to_B_Chr4_L13</t>
  </si>
  <si>
    <t>TRANS_C_to_B_Chr4_L15_2</t>
  </si>
  <si>
    <t>TRANS_C_to_B_Chr7_990K</t>
  </si>
  <si>
    <t>TRANS_C_to_B_Chr7_L03</t>
  </si>
  <si>
    <t>TRANS_C_to_B_Chr7_L06</t>
  </si>
  <si>
    <t>TRANS_C_to_B_Chr7_L09</t>
  </si>
  <si>
    <t>TRANS_C_to_B_UNCUTTABLE</t>
  </si>
  <si>
    <t>Count</t>
  </si>
  <si>
    <t>Molecule</t>
  </si>
  <si>
    <t>T0</t>
  </si>
  <si>
    <t>T120</t>
  </si>
  <si>
    <t>TRANS_C_to_B_Chr15_L17_2</t>
  </si>
  <si>
    <t>TRANS_C_to_B_Chr15_L18</t>
  </si>
  <si>
    <t>CIS_C_to_D_DSB2_Chr15</t>
  </si>
  <si>
    <t>Time 0</t>
  </si>
  <si>
    <t>Time 120</t>
  </si>
  <si>
    <t>Total Counts</t>
  </si>
  <si>
    <t>Percent "Kept" Reads</t>
  </si>
  <si>
    <t>Cis Counts</t>
  </si>
  <si>
    <t>Percent Cis</t>
  </si>
  <si>
    <t>Total Trans Counts</t>
  </si>
  <si>
    <t>Percent Trans</t>
  </si>
  <si>
    <t>Trans A to D Counts</t>
  </si>
  <si>
    <t>Percent A to D</t>
  </si>
  <si>
    <t>Trans C to B Counts</t>
  </si>
  <si>
    <t>Percent C to B</t>
  </si>
  <si>
    <t>Percent CIS Uncut</t>
  </si>
  <si>
    <t>Percent Trans Uncut</t>
  </si>
  <si>
    <t>Percent CIS DSB2</t>
  </si>
  <si>
    <t>Strain</t>
  </si>
  <si>
    <t>Ratio (T120/T0)</t>
  </si>
  <si>
    <t>DSB1_Chr3_L02</t>
  </si>
  <si>
    <t>DSB1_Chr3_L03</t>
  </si>
  <si>
    <t>DSB1_Chr3_L04</t>
  </si>
  <si>
    <t>DSB1_Chr4_L01</t>
  </si>
  <si>
    <t>DSB1_Chr4_L03</t>
  </si>
  <si>
    <t>DSB1_Chr4_L06_2</t>
  </si>
  <si>
    <t>DSB1_Chr4_L10_2</t>
  </si>
  <si>
    <t>DSB1_Chr4_L12_2</t>
  </si>
  <si>
    <t>DSB1_Chr4_L13</t>
  </si>
  <si>
    <t>DSB1_Chr4_L15_2</t>
  </si>
  <si>
    <t>DSB1_Chr7_990K</t>
  </si>
  <si>
    <t>DSB1_Chr7_L03</t>
  </si>
  <si>
    <t>DSB1_Chr7_L06</t>
  </si>
  <si>
    <t>DSB1_Chr7_L09</t>
  </si>
  <si>
    <t>DSB1_Chr12_L01</t>
  </si>
  <si>
    <t>DSB1_Chr12_L05</t>
  </si>
  <si>
    <t>DSB1_Chr12_L07</t>
  </si>
  <si>
    <t>DSB1_Chr12_L12</t>
  </si>
  <si>
    <t>DSB1_Chr15_L01</t>
  </si>
  <si>
    <t>DSB1_Chr15_L04</t>
  </si>
  <si>
    <t>DSB1_Chr15_L15</t>
  </si>
  <si>
    <t>DSB1_Chr15_L17_2</t>
  </si>
  <si>
    <t>DSB1_Chr15_L18</t>
  </si>
  <si>
    <t>DSB1_UNCUTTABLE</t>
  </si>
  <si>
    <t>DSB2_UNCUTTABLE</t>
  </si>
  <si>
    <t>DSB2_Chr15</t>
  </si>
  <si>
    <t>Ratio (T0/T120)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</si>
</sst>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0" fontId="2" fillId="0" borderId="0" xfId="0" applyNumberFormat="1" applyFont="1"/>
    <xf numFmtId="0" fontId="4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CIS!$H$2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CIS!$G$3:$G$28</c:f>
              <c:strCache>
                <c:ptCount val="26"/>
                <c:pt idx="0">
                  <c:v>DSB2_Chr15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CIS!$H$3:$H$28</c:f>
              <c:numCache>
                <c:formatCode>0.00</c:formatCode>
                <c:ptCount val="26"/>
                <c:pt idx="0">
                  <c:v>54.813710802823834</c:v>
                </c:pt>
                <c:pt idx="1">
                  <c:v>2.8677043999343295</c:v>
                </c:pt>
                <c:pt idx="2">
                  <c:v>1.7831123789197176</c:v>
                </c:pt>
                <c:pt idx="3">
                  <c:v>4.6254207026760792</c:v>
                </c:pt>
                <c:pt idx="4">
                  <c:v>1.5455692825480216</c:v>
                </c:pt>
                <c:pt idx="5">
                  <c:v>2.9836541618781807</c:v>
                </c:pt>
                <c:pt idx="6">
                  <c:v>1.4126888031521918</c:v>
                </c:pt>
                <c:pt idx="7">
                  <c:v>1.8408307338696437</c:v>
                </c:pt>
                <c:pt idx="8">
                  <c:v>1.509399113446068</c:v>
                </c:pt>
                <c:pt idx="9">
                  <c:v>1.3434267772122805</c:v>
                </c:pt>
                <c:pt idx="10">
                  <c:v>1.0196909374486947</c:v>
                </c:pt>
                <c:pt idx="11">
                  <c:v>1.0225127236906912</c:v>
                </c:pt>
                <c:pt idx="12">
                  <c:v>1.6291967657199147</c:v>
                </c:pt>
                <c:pt idx="13">
                  <c:v>2.5573079133147267</c:v>
                </c:pt>
                <c:pt idx="14">
                  <c:v>1.8285174848136594</c:v>
                </c:pt>
                <c:pt idx="15">
                  <c:v>1.8354436874076507</c:v>
                </c:pt>
                <c:pt idx="16">
                  <c:v>0.76906501395501559</c:v>
                </c:pt>
                <c:pt idx="17">
                  <c:v>1.2633906583483829</c:v>
                </c:pt>
                <c:pt idx="18">
                  <c:v>2.4487974060088655</c:v>
                </c:pt>
                <c:pt idx="19">
                  <c:v>2.9259358069282548</c:v>
                </c:pt>
                <c:pt idx="20">
                  <c:v>5.3870464619931047E-3</c:v>
                </c:pt>
                <c:pt idx="21">
                  <c:v>1.0094298965687079</c:v>
                </c:pt>
                <c:pt idx="22">
                  <c:v>1.0463696437366605</c:v>
                </c:pt>
                <c:pt idx="23">
                  <c:v>0.13005869315383353</c:v>
                </c:pt>
                <c:pt idx="24">
                  <c:v>4.5171667213922175</c:v>
                </c:pt>
                <c:pt idx="25">
                  <c:v>1.2662124445903791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D-4F3B-A464-616CA60C8DF4}"/>
            </c:ext>
          </c:extLst>
        </c:ser>
        <c:ser>
          <c:idx val="1"/>
          <c:order val="1"/>
          <c:tx>
            <c:strRef>
              <c:f>CIS!$I$2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CIS!$G$3:$G$28</c:f>
              <c:strCache>
                <c:ptCount val="26"/>
                <c:pt idx="0">
                  <c:v>DSB2_Chr15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CIS!$I$3:$I$28</c:f>
              <c:numCache>
                <c:formatCode>0.00</c:formatCode>
                <c:ptCount val="26"/>
                <c:pt idx="0">
                  <c:v>1.083565916926613</c:v>
                </c:pt>
                <c:pt idx="1">
                  <c:v>5.0086705795435886</c:v>
                </c:pt>
                <c:pt idx="2">
                  <c:v>8.2857905105893942E-2</c:v>
                </c:pt>
                <c:pt idx="3">
                  <c:v>0.16494623214578888</c:v>
                </c:pt>
                <c:pt idx="4">
                  <c:v>1.5773785092759809</c:v>
                </c:pt>
                <c:pt idx="5">
                  <c:v>2.539607617796749</c:v>
                </c:pt>
                <c:pt idx="6">
                  <c:v>1.7433508455097686</c:v>
                </c:pt>
                <c:pt idx="7">
                  <c:v>1.7956821539977015</c:v>
                </c:pt>
                <c:pt idx="8">
                  <c:v>2.5478164505007386</c:v>
                </c:pt>
                <c:pt idx="9">
                  <c:v>4.3096371695944838E-2</c:v>
                </c:pt>
                <c:pt idx="10">
                  <c:v>1.1895111640124774</c:v>
                </c:pt>
                <c:pt idx="11">
                  <c:v>0.32296626169758663</c:v>
                </c:pt>
                <c:pt idx="12">
                  <c:v>2.5652602199967164E-2</c:v>
                </c:pt>
                <c:pt idx="13">
                  <c:v>0.14647635856181251</c:v>
                </c:pt>
                <c:pt idx="14">
                  <c:v>4.4122475783943522E-2</c:v>
                </c:pt>
                <c:pt idx="15">
                  <c:v>0.24959981940568052</c:v>
                </c:pt>
                <c:pt idx="16">
                  <c:v>1.6189357248399279</c:v>
                </c:pt>
                <c:pt idx="17">
                  <c:v>0.16494623214578888</c:v>
                </c:pt>
                <c:pt idx="18">
                  <c:v>0.24908676736168114</c:v>
                </c:pt>
                <c:pt idx="19">
                  <c:v>1.9726851091774751</c:v>
                </c:pt>
                <c:pt idx="20">
                  <c:v>5.1305204399934327E-3</c:v>
                </c:pt>
                <c:pt idx="21">
                  <c:v>1.8333914792316532</c:v>
                </c:pt>
                <c:pt idx="22">
                  <c:v>5.079215235593499E-2</c:v>
                </c:pt>
                <c:pt idx="23">
                  <c:v>0.11261492365785584</c:v>
                </c:pt>
                <c:pt idx="24">
                  <c:v>3.0777992119520605</c:v>
                </c:pt>
                <c:pt idx="25">
                  <c:v>20.466928665243802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D-4F3B-A464-616CA60C8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665327"/>
        <c:axId val="1238907391"/>
      </c:barChart>
      <c:catAx>
        <c:axId val="14756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907391"/>
        <c:crosses val="autoZero"/>
        <c:auto val="1"/>
        <c:lblAlgn val="ctr"/>
        <c:lblOffset val="100"/>
        <c:noMultiLvlLbl val="0"/>
      </c:catAx>
      <c:valAx>
        <c:axId val="12389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CIS!$H$2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CIS!$G$4:$G$28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CIS!$H$4:$H$28</c:f>
              <c:numCache>
                <c:formatCode>0.00</c:formatCode>
                <c:ptCount val="25"/>
                <c:pt idx="0">
                  <c:v>2.8677043999343295</c:v>
                </c:pt>
                <c:pt idx="1">
                  <c:v>1.7831123789197176</c:v>
                </c:pt>
                <c:pt idx="2">
                  <c:v>4.6254207026760792</c:v>
                </c:pt>
                <c:pt idx="3">
                  <c:v>1.5455692825480216</c:v>
                </c:pt>
                <c:pt idx="4">
                  <c:v>2.9836541618781807</c:v>
                </c:pt>
                <c:pt idx="5">
                  <c:v>1.4126888031521918</c:v>
                </c:pt>
                <c:pt idx="6">
                  <c:v>1.8408307338696437</c:v>
                </c:pt>
                <c:pt idx="7">
                  <c:v>1.509399113446068</c:v>
                </c:pt>
                <c:pt idx="8">
                  <c:v>1.3434267772122805</c:v>
                </c:pt>
                <c:pt idx="9">
                  <c:v>1.0196909374486947</c:v>
                </c:pt>
                <c:pt idx="10">
                  <c:v>1.0225127236906912</c:v>
                </c:pt>
                <c:pt idx="11">
                  <c:v>1.6291967657199147</c:v>
                </c:pt>
                <c:pt idx="12">
                  <c:v>2.5573079133147267</c:v>
                </c:pt>
                <c:pt idx="13">
                  <c:v>1.8285174848136594</c:v>
                </c:pt>
                <c:pt idx="14">
                  <c:v>1.8354436874076507</c:v>
                </c:pt>
                <c:pt idx="15">
                  <c:v>0.76906501395501559</c:v>
                </c:pt>
                <c:pt idx="16">
                  <c:v>1.2633906583483829</c:v>
                </c:pt>
                <c:pt idx="17">
                  <c:v>2.4487974060088655</c:v>
                </c:pt>
                <c:pt idx="18">
                  <c:v>2.9259358069282548</c:v>
                </c:pt>
                <c:pt idx="19">
                  <c:v>5.3870464619931047E-3</c:v>
                </c:pt>
                <c:pt idx="20">
                  <c:v>1.0094298965687079</c:v>
                </c:pt>
                <c:pt idx="21">
                  <c:v>1.0463696437366605</c:v>
                </c:pt>
                <c:pt idx="22">
                  <c:v>0.13005869315383353</c:v>
                </c:pt>
                <c:pt idx="23">
                  <c:v>4.5171667213922175</c:v>
                </c:pt>
                <c:pt idx="24">
                  <c:v>1.2662124445903791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9-4F76-84CE-9BF6ABBC024A}"/>
            </c:ext>
          </c:extLst>
        </c:ser>
        <c:ser>
          <c:idx val="1"/>
          <c:order val="1"/>
          <c:tx>
            <c:strRef>
              <c:f>CIS!$I$2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CIS!$G$4:$G$28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CIS!$I$4:$I$28</c:f>
              <c:numCache>
                <c:formatCode>0.00</c:formatCode>
                <c:ptCount val="25"/>
                <c:pt idx="0">
                  <c:v>5.0086705795435886</c:v>
                </c:pt>
                <c:pt idx="1">
                  <c:v>8.2857905105893942E-2</c:v>
                </c:pt>
                <c:pt idx="2">
                  <c:v>0.16494623214578888</c:v>
                </c:pt>
                <c:pt idx="3">
                  <c:v>1.5773785092759809</c:v>
                </c:pt>
                <c:pt idx="4">
                  <c:v>2.539607617796749</c:v>
                </c:pt>
                <c:pt idx="5">
                  <c:v>1.7433508455097686</c:v>
                </c:pt>
                <c:pt idx="6">
                  <c:v>1.7956821539977015</c:v>
                </c:pt>
                <c:pt idx="7">
                  <c:v>2.5478164505007386</c:v>
                </c:pt>
                <c:pt idx="8">
                  <c:v>4.3096371695944838E-2</c:v>
                </c:pt>
                <c:pt idx="9">
                  <c:v>1.1895111640124774</c:v>
                </c:pt>
                <c:pt idx="10">
                  <c:v>0.32296626169758663</c:v>
                </c:pt>
                <c:pt idx="11">
                  <c:v>2.5652602199967164E-2</c:v>
                </c:pt>
                <c:pt idx="12">
                  <c:v>0.14647635856181251</c:v>
                </c:pt>
                <c:pt idx="13">
                  <c:v>4.4122475783943522E-2</c:v>
                </c:pt>
                <c:pt idx="14">
                  <c:v>0.24959981940568052</c:v>
                </c:pt>
                <c:pt idx="15">
                  <c:v>1.6189357248399279</c:v>
                </c:pt>
                <c:pt idx="16">
                  <c:v>0.16494623214578888</c:v>
                </c:pt>
                <c:pt idx="17">
                  <c:v>0.24908676736168114</c:v>
                </c:pt>
                <c:pt idx="18">
                  <c:v>1.9726851091774751</c:v>
                </c:pt>
                <c:pt idx="19">
                  <c:v>5.1305204399934327E-3</c:v>
                </c:pt>
                <c:pt idx="20">
                  <c:v>1.8333914792316532</c:v>
                </c:pt>
                <c:pt idx="21">
                  <c:v>5.079215235593499E-2</c:v>
                </c:pt>
                <c:pt idx="22">
                  <c:v>0.11261492365785584</c:v>
                </c:pt>
                <c:pt idx="23">
                  <c:v>3.0777992119520605</c:v>
                </c:pt>
                <c:pt idx="24">
                  <c:v>20.466928665243802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9-4F76-84CE-9BF6ABBC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665327"/>
        <c:axId val="1238907391"/>
      </c:barChart>
      <c:catAx>
        <c:axId val="14756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907391"/>
        <c:crosses val="autoZero"/>
        <c:auto val="1"/>
        <c:lblAlgn val="ctr"/>
        <c:lblOffset val="100"/>
        <c:noMultiLvlLbl val="0"/>
      </c:catAx>
      <c:valAx>
        <c:axId val="12389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CIS!$K$2</c:f>
              <c:strCache>
                <c:ptCount val="1"/>
                <c:pt idx="0">
                  <c:v>Ratio (T120/T0)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CIS!$J$3:$J$28</c:f>
              <c:strCache>
                <c:ptCount val="26"/>
                <c:pt idx="0">
                  <c:v>DSB2_Chr15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CIS!$K$3:$K$28</c:f>
              <c:numCache>
                <c:formatCode>0.00</c:formatCode>
                <c:ptCount val="26"/>
                <c:pt idx="0">
                  <c:v>1.9768154738226389E-2</c:v>
                </c:pt>
                <c:pt idx="1">
                  <c:v>1.7465784059397083</c:v>
                </c:pt>
                <c:pt idx="2">
                  <c:v>4.646813408142713E-2</c:v>
                </c:pt>
                <c:pt idx="3">
                  <c:v>3.5660806388996734E-2</c:v>
                </c:pt>
                <c:pt idx="4">
                  <c:v>1.0205809128630705</c:v>
                </c:pt>
                <c:pt idx="5">
                  <c:v>0.85117358782563834</c:v>
                </c:pt>
                <c:pt idx="6">
                  <c:v>1.2340657345197021</c:v>
                </c:pt>
                <c:pt idx="7">
                  <c:v>0.97547380156075814</c:v>
                </c:pt>
                <c:pt idx="8">
                  <c:v>1.6879673691366415</c:v>
                </c:pt>
                <c:pt idx="9">
                  <c:v>3.2079434790910827E-2</c:v>
                </c:pt>
                <c:pt idx="10">
                  <c:v>1.1665408805031448</c:v>
                </c:pt>
                <c:pt idx="11">
                  <c:v>0.3158554942298043</c:v>
                </c:pt>
                <c:pt idx="12">
                  <c:v>1.5745551881593448E-2</c:v>
                </c:pt>
                <c:pt idx="13">
                  <c:v>5.7277560437355803E-2</c:v>
                </c:pt>
                <c:pt idx="14">
                  <c:v>2.4130190796857465E-2</c:v>
                </c:pt>
                <c:pt idx="15">
                  <c:v>0.13598881900768692</c:v>
                </c:pt>
                <c:pt idx="16">
                  <c:v>2.1050700466977985</c:v>
                </c:pt>
                <c:pt idx="17">
                  <c:v>0.13055837563451778</c:v>
                </c:pt>
                <c:pt idx="18">
                  <c:v>0.10171799706683426</c:v>
                </c:pt>
                <c:pt idx="19">
                  <c:v>0.67420655795195517</c:v>
                </c:pt>
                <c:pt idx="20">
                  <c:v>0.95238095238095233</c:v>
                </c:pt>
                <c:pt idx="21">
                  <c:v>1.8162642947903431</c:v>
                </c:pt>
                <c:pt idx="22">
                  <c:v>4.8541309144398144E-2</c:v>
                </c:pt>
                <c:pt idx="23">
                  <c:v>0.86587771203155806</c:v>
                </c:pt>
                <c:pt idx="24">
                  <c:v>0.68135612470895579</c:v>
                </c:pt>
                <c:pt idx="25">
                  <c:v>16.163897893030796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F98-8F5B-23E8DAAEB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798303"/>
        <c:axId val="1635799743"/>
      </c:barChart>
      <c:catAx>
        <c:axId val="16357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99743"/>
        <c:crosses val="autoZero"/>
        <c:auto val="1"/>
        <c:lblAlgn val="ctr"/>
        <c:lblOffset val="100"/>
        <c:noMultiLvlLbl val="0"/>
      </c:catAx>
      <c:valAx>
        <c:axId val="16357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CIS!$K$2</c:f>
              <c:strCache>
                <c:ptCount val="1"/>
                <c:pt idx="0">
                  <c:v>Ratio (T120/T0)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CIS!$J$3:$J$28</c:f>
              <c:strCache>
                <c:ptCount val="26"/>
                <c:pt idx="0">
                  <c:v>DSB2_Chr15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CIS!$K$3:$K$28</c:f>
              <c:numCache>
                <c:formatCode>0.00</c:formatCode>
                <c:ptCount val="26"/>
                <c:pt idx="0">
                  <c:v>1.9768154738226389E-2</c:v>
                </c:pt>
                <c:pt idx="1">
                  <c:v>1.7465784059397083</c:v>
                </c:pt>
                <c:pt idx="2">
                  <c:v>4.646813408142713E-2</c:v>
                </c:pt>
                <c:pt idx="3">
                  <c:v>3.5660806388996734E-2</c:v>
                </c:pt>
                <c:pt idx="4">
                  <c:v>1.0205809128630705</c:v>
                </c:pt>
                <c:pt idx="5">
                  <c:v>0.85117358782563834</c:v>
                </c:pt>
                <c:pt idx="6">
                  <c:v>1.2340657345197021</c:v>
                </c:pt>
                <c:pt idx="7">
                  <c:v>0.97547380156075814</c:v>
                </c:pt>
                <c:pt idx="8">
                  <c:v>1.6879673691366415</c:v>
                </c:pt>
                <c:pt idx="9">
                  <c:v>3.2079434790910827E-2</c:v>
                </c:pt>
                <c:pt idx="10">
                  <c:v>1.1665408805031448</c:v>
                </c:pt>
                <c:pt idx="11">
                  <c:v>0.3158554942298043</c:v>
                </c:pt>
                <c:pt idx="12">
                  <c:v>1.5745551881593448E-2</c:v>
                </c:pt>
                <c:pt idx="13">
                  <c:v>5.7277560437355803E-2</c:v>
                </c:pt>
                <c:pt idx="14">
                  <c:v>2.4130190796857465E-2</c:v>
                </c:pt>
                <c:pt idx="15">
                  <c:v>0.13598881900768692</c:v>
                </c:pt>
                <c:pt idx="16">
                  <c:v>2.1050700466977985</c:v>
                </c:pt>
                <c:pt idx="17">
                  <c:v>0.13055837563451778</c:v>
                </c:pt>
                <c:pt idx="18">
                  <c:v>0.10171799706683426</c:v>
                </c:pt>
                <c:pt idx="19">
                  <c:v>0.67420655795195517</c:v>
                </c:pt>
                <c:pt idx="20">
                  <c:v>0.95238095238095233</c:v>
                </c:pt>
                <c:pt idx="21">
                  <c:v>1.8162642947903431</c:v>
                </c:pt>
                <c:pt idx="22">
                  <c:v>4.8541309144398144E-2</c:v>
                </c:pt>
                <c:pt idx="23">
                  <c:v>0.86587771203155806</c:v>
                </c:pt>
                <c:pt idx="24">
                  <c:v>0.68135612470895579</c:v>
                </c:pt>
                <c:pt idx="25">
                  <c:v>16.163897893030796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4-4DF4-BE95-A42A7F46A4AA}"/>
            </c:ext>
          </c:extLst>
        </c:ser>
        <c:ser>
          <c:idx val="1"/>
          <c:order val="1"/>
          <c:tx>
            <c:strRef>
              <c:f>CIS!$L$2</c:f>
              <c:strCache>
                <c:ptCount val="1"/>
                <c:pt idx="0">
                  <c:v>Ratio (T0/T120)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CIS!$J$3:$J$28</c:f>
              <c:strCache>
                <c:ptCount val="26"/>
                <c:pt idx="0">
                  <c:v>DSB2_Chr15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CIS!$L$3:$L$28</c:f>
              <c:numCache>
                <c:formatCode>0.00</c:formatCode>
                <c:ptCount val="26"/>
                <c:pt idx="0">
                  <c:v>50.586410984848484</c:v>
                </c:pt>
                <c:pt idx="1">
                  <c:v>0.57254801536491684</c:v>
                </c:pt>
                <c:pt idx="2">
                  <c:v>21.520123839009287</c:v>
                </c:pt>
                <c:pt idx="3">
                  <c:v>28.041990668740276</c:v>
                </c:pt>
                <c:pt idx="4">
                  <c:v>0.97983411936900311</c:v>
                </c:pt>
                <c:pt idx="5">
                  <c:v>1.1748484848484848</c:v>
                </c:pt>
                <c:pt idx="6">
                  <c:v>0.81032960565038259</c:v>
                </c:pt>
                <c:pt idx="7">
                  <c:v>1.0251428571428571</c:v>
                </c:pt>
                <c:pt idx="8">
                  <c:v>0.59242851389448259</c:v>
                </c:pt>
                <c:pt idx="9">
                  <c:v>31.172619047619051</c:v>
                </c:pt>
                <c:pt idx="10">
                  <c:v>0.85723528143196026</c:v>
                </c:pt>
                <c:pt idx="11">
                  <c:v>3.1660047656870529</c:v>
                </c:pt>
                <c:pt idx="12">
                  <c:v>63.510000000000005</c:v>
                </c:pt>
                <c:pt idx="13">
                  <c:v>17.458844133099824</c:v>
                </c:pt>
                <c:pt idx="14">
                  <c:v>41.441860465116278</c:v>
                </c:pt>
                <c:pt idx="15">
                  <c:v>7.353545734840699</c:v>
                </c:pt>
                <c:pt idx="16">
                  <c:v>0.47504357471082231</c:v>
                </c:pt>
                <c:pt idx="17">
                  <c:v>7.659409020217729</c:v>
                </c:pt>
                <c:pt idx="18">
                  <c:v>9.8311019567456235</c:v>
                </c:pt>
                <c:pt idx="19">
                  <c:v>1.4832249674902469</c:v>
                </c:pt>
                <c:pt idx="20">
                  <c:v>1.05</c:v>
                </c:pt>
                <c:pt idx="21">
                  <c:v>0.55058066321533505</c:v>
                </c:pt>
                <c:pt idx="22">
                  <c:v>20.601010101010097</c:v>
                </c:pt>
                <c:pt idx="23">
                  <c:v>1.1548974943052392</c:v>
                </c:pt>
                <c:pt idx="24">
                  <c:v>1.4676612768794797</c:v>
                </c:pt>
                <c:pt idx="25">
                  <c:v>6.1866265588769807E-2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4-4DF4-BE95-A42A7F46A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843519"/>
        <c:axId val="1632844479"/>
      </c:barChart>
      <c:catAx>
        <c:axId val="1632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844479"/>
        <c:crosses val="autoZero"/>
        <c:auto val="1"/>
        <c:lblAlgn val="ctr"/>
        <c:lblOffset val="100"/>
        <c:noMultiLvlLbl val="0"/>
      </c:catAx>
      <c:valAx>
        <c:axId val="16328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8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TRANS!$H$2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TRANS!$G$3:$G$50</c:f>
              <c:strCache>
                <c:ptCount val="48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TRANS_C_to_B_Chr15_L04</c:v>
                </c:pt>
                <c:pt idx="44">
                  <c:v>TRANS_C_to_B_Chr15_L15</c:v>
                </c:pt>
                <c:pt idx="45">
                  <c:v>TRANS_C_to_B_Chr15_L17_2</c:v>
                </c:pt>
                <c:pt idx="46">
                  <c:v>TRANS_C_to_B_Chr15_L18</c:v>
                </c:pt>
                <c:pt idx="47">
                  <c:v>TRANS_C_to_B_UNCUTTABLE</c:v>
                </c:pt>
              </c:strCache>
            </c:strRef>
          </c:cat>
          <c:val>
            <c:numRef>
              <c:f>TRANS!$H$3:$H$50</c:f>
              <c:numCache>
                <c:formatCode>0.00</c:formatCode>
                <c:ptCount val="48"/>
                <c:pt idx="0">
                  <c:v>8.885252898911574</c:v>
                </c:pt>
                <c:pt idx="1">
                  <c:v>2.070142989258021</c:v>
                </c:pt>
                <c:pt idx="2">
                  <c:v>11.595646297218467</c:v>
                </c:pt>
                <c:pt idx="3">
                  <c:v>1.3729814327381376</c:v>
                </c:pt>
                <c:pt idx="4">
                  <c:v>2.4116098740840863</c:v>
                </c:pt>
                <c:pt idx="5">
                  <c:v>1.956320694315999</c:v>
                </c:pt>
                <c:pt idx="6">
                  <c:v>1.7144483175642027</c:v>
                </c:pt>
                <c:pt idx="7">
                  <c:v>1.735789997865832</c:v>
                </c:pt>
                <c:pt idx="8">
                  <c:v>5.989898271323896</c:v>
                </c:pt>
                <c:pt idx="9">
                  <c:v>1.3516397524365085</c:v>
                </c:pt>
                <c:pt idx="10">
                  <c:v>0.65447819591662515</c:v>
                </c:pt>
                <c:pt idx="11">
                  <c:v>4.2469943800241872</c:v>
                </c:pt>
                <c:pt idx="12">
                  <c:v>1.7073344241303265</c:v>
                </c:pt>
                <c:pt idx="13">
                  <c:v>4.8445614284698015</c:v>
                </c:pt>
                <c:pt idx="14">
                  <c:v>1.102653482250836</c:v>
                </c:pt>
                <c:pt idx="15">
                  <c:v>1.2591591377961158</c:v>
                </c:pt>
                <c:pt idx="16">
                  <c:v>4.2327665931564349</c:v>
                </c:pt>
                <c:pt idx="17">
                  <c:v>24.621185174646083</c:v>
                </c:pt>
                <c:pt idx="18">
                  <c:v>4.7236252400939032</c:v>
                </c:pt>
                <c:pt idx="19">
                  <c:v>1.4227786867752721E-2</c:v>
                </c:pt>
                <c:pt idx="20">
                  <c:v>1.6290815963576863</c:v>
                </c:pt>
                <c:pt idx="21">
                  <c:v>1.4939176211140357</c:v>
                </c:pt>
                <c:pt idx="22">
                  <c:v>7.1138934338763607E-3</c:v>
                </c:pt>
                <c:pt idx="23">
                  <c:v>10.37917052002561</c:v>
                </c:pt>
                <c:pt idx="24">
                  <c:v>11.353711790393014</c:v>
                </c:pt>
                <c:pt idx="25">
                  <c:v>1.0917030567685588</c:v>
                </c:pt>
                <c:pt idx="26">
                  <c:v>2.6200873362445414</c:v>
                </c:pt>
                <c:pt idx="27">
                  <c:v>3.0567685589519651</c:v>
                </c:pt>
                <c:pt idx="28">
                  <c:v>6.1135371179039302</c:v>
                </c:pt>
                <c:pt idx="29">
                  <c:v>1.0917030567685588</c:v>
                </c:pt>
                <c:pt idx="30">
                  <c:v>5.8951965065502181</c:v>
                </c:pt>
                <c:pt idx="31">
                  <c:v>1.0917030567685588</c:v>
                </c:pt>
                <c:pt idx="32">
                  <c:v>0.43668122270742354</c:v>
                </c:pt>
                <c:pt idx="33">
                  <c:v>1.0917030567685588</c:v>
                </c:pt>
                <c:pt idx="34">
                  <c:v>4.3668122270742353</c:v>
                </c:pt>
                <c:pt idx="35">
                  <c:v>1.3100436681222707</c:v>
                </c:pt>
                <c:pt idx="36">
                  <c:v>16.157205240174672</c:v>
                </c:pt>
                <c:pt idx="37">
                  <c:v>1.3100436681222707</c:v>
                </c:pt>
                <c:pt idx="38">
                  <c:v>1.9650655021834063</c:v>
                </c:pt>
                <c:pt idx="39">
                  <c:v>0.21834061135371177</c:v>
                </c:pt>
                <c:pt idx="40">
                  <c:v>1.0917030567685588</c:v>
                </c:pt>
                <c:pt idx="41">
                  <c:v>8.2969432314410483</c:v>
                </c:pt>
                <c:pt idx="42">
                  <c:v>3.4934497816593884</c:v>
                </c:pt>
                <c:pt idx="43">
                  <c:v>0.43668122270742354</c:v>
                </c:pt>
                <c:pt idx="44">
                  <c:v>21.834061135371179</c:v>
                </c:pt>
                <c:pt idx="45">
                  <c:v>0.43668122270742354</c:v>
                </c:pt>
                <c:pt idx="46">
                  <c:v>0.65502183406113534</c:v>
                </c:pt>
                <c:pt idx="47">
                  <c:v>4.5851528384279483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F-4A32-90D9-959C28BAB2BB}"/>
            </c:ext>
          </c:extLst>
        </c:ser>
        <c:ser>
          <c:idx val="1"/>
          <c:order val="1"/>
          <c:tx>
            <c:strRef>
              <c:f>TRANS!$I$2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TRANS!$G$3:$G$50</c:f>
              <c:strCache>
                <c:ptCount val="48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TRANS_C_to_B_Chr15_L04</c:v>
                </c:pt>
                <c:pt idx="44">
                  <c:v>TRANS_C_to_B_Chr15_L15</c:v>
                </c:pt>
                <c:pt idx="45">
                  <c:v>TRANS_C_to_B_Chr15_L17_2</c:v>
                </c:pt>
                <c:pt idx="46">
                  <c:v>TRANS_C_to_B_Chr15_L18</c:v>
                </c:pt>
                <c:pt idx="47">
                  <c:v>TRANS_C_to_B_UNCUTTABLE</c:v>
                </c:pt>
              </c:strCache>
            </c:strRef>
          </c:cat>
          <c:val>
            <c:numRef>
              <c:f>TRANS!$I$3:$I$50</c:f>
              <c:numCache>
                <c:formatCode>0.00</c:formatCode>
                <c:ptCount val="48"/>
                <c:pt idx="0">
                  <c:v>7.8323966706978734</c:v>
                </c:pt>
                <c:pt idx="1">
                  <c:v>4.2683360603258162E-2</c:v>
                </c:pt>
                <c:pt idx="2">
                  <c:v>0.21341680301629082</c:v>
                </c:pt>
                <c:pt idx="3">
                  <c:v>1.9207512271466172</c:v>
                </c:pt>
                <c:pt idx="4">
                  <c:v>5.9329871238528851</c:v>
                </c:pt>
                <c:pt idx="5">
                  <c:v>2.7175072917407697</c:v>
                </c:pt>
                <c:pt idx="6">
                  <c:v>2.7103933983068931</c:v>
                </c:pt>
                <c:pt idx="7">
                  <c:v>1.3800953261720139</c:v>
                </c:pt>
                <c:pt idx="8">
                  <c:v>4.2683360603258162E-2</c:v>
                </c:pt>
                <c:pt idx="9">
                  <c:v>1.2947286049654978</c:v>
                </c:pt>
                <c:pt idx="10">
                  <c:v>0.2347584833179199</c:v>
                </c:pt>
                <c:pt idx="11">
                  <c:v>2.8455573735505443E-2</c:v>
                </c:pt>
                <c:pt idx="12">
                  <c:v>0.12805008180977448</c:v>
                </c:pt>
                <c:pt idx="13">
                  <c:v>6.402504090488724E-2</c:v>
                </c:pt>
                <c:pt idx="14">
                  <c:v>0.25610016361954896</c:v>
                </c:pt>
                <c:pt idx="15">
                  <c:v>0.91057835953617416</c:v>
                </c:pt>
                <c:pt idx="16">
                  <c:v>0.33435299139218894</c:v>
                </c:pt>
                <c:pt idx="17">
                  <c:v>1.0101728676104431</c:v>
                </c:pt>
                <c:pt idx="18">
                  <c:v>3.3221882336202602</c:v>
                </c:pt>
                <c:pt idx="19">
                  <c:v>2.8455573735505443E-2</c:v>
                </c:pt>
                <c:pt idx="20">
                  <c:v>4.744966920395532</c:v>
                </c:pt>
                <c:pt idx="21">
                  <c:v>4.2683360603258162E-2</c:v>
                </c:pt>
                <c:pt idx="22">
                  <c:v>4.2683360603258162E-2</c:v>
                </c:pt>
                <c:pt idx="23">
                  <c:v>1.9065234402788647</c:v>
                </c:pt>
                <c:pt idx="24">
                  <c:v>60.917030567685593</c:v>
                </c:pt>
                <c:pt idx="25">
                  <c:v>2.8384279475982535</c:v>
                </c:pt>
                <c:pt idx="26">
                  <c:v>7.4235807860262017</c:v>
                </c:pt>
                <c:pt idx="27">
                  <c:v>29.257641921397383</c:v>
                </c:pt>
                <c:pt idx="28">
                  <c:v>116.5938864628821</c:v>
                </c:pt>
                <c:pt idx="29">
                  <c:v>81.004366812227062</c:v>
                </c:pt>
                <c:pt idx="30">
                  <c:v>44.32314410480349</c:v>
                </c:pt>
                <c:pt idx="31">
                  <c:v>10.480349344978166</c:v>
                </c:pt>
                <c:pt idx="32">
                  <c:v>0.87336244541484709</c:v>
                </c:pt>
                <c:pt idx="33">
                  <c:v>29.912663755458514</c:v>
                </c:pt>
                <c:pt idx="34">
                  <c:v>24.454148471615721</c:v>
                </c:pt>
                <c:pt idx="35">
                  <c:v>0</c:v>
                </c:pt>
                <c:pt idx="36">
                  <c:v>3.7117903930131009</c:v>
                </c:pt>
                <c:pt idx="37">
                  <c:v>3.0567685589519651</c:v>
                </c:pt>
                <c:pt idx="38">
                  <c:v>2.1834061135371177</c:v>
                </c:pt>
                <c:pt idx="39">
                  <c:v>13.318777292576419</c:v>
                </c:pt>
                <c:pt idx="40">
                  <c:v>3.7117903930131009</c:v>
                </c:pt>
                <c:pt idx="41">
                  <c:v>6.9868995633187767</c:v>
                </c:pt>
                <c:pt idx="42">
                  <c:v>101.09170305676855</c:v>
                </c:pt>
                <c:pt idx="43">
                  <c:v>0</c:v>
                </c:pt>
                <c:pt idx="44">
                  <c:v>64.410480349344979</c:v>
                </c:pt>
                <c:pt idx="45">
                  <c:v>0.21834061135371177</c:v>
                </c:pt>
                <c:pt idx="46">
                  <c:v>0.43668122270742354</c:v>
                </c:pt>
                <c:pt idx="47">
                  <c:v>11.353711790393014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F-4A32-90D9-959C28BA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795279"/>
        <c:axId val="1476796239"/>
      </c:barChart>
      <c:catAx>
        <c:axId val="14767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96239"/>
        <c:crosses val="autoZero"/>
        <c:auto val="1"/>
        <c:lblAlgn val="ctr"/>
        <c:lblOffset val="100"/>
        <c:noMultiLvlLbl val="0"/>
      </c:catAx>
      <c:valAx>
        <c:axId val="14767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TRANS!$K$2</c:f>
              <c:strCache>
                <c:ptCount val="1"/>
                <c:pt idx="0">
                  <c:v>Ratio (T120/T0)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TRANS!$J$3:$J$50</c:f>
              <c:strCache>
                <c:ptCount val="48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TRANS_C_to_B_Chr15_L04</c:v>
                </c:pt>
                <c:pt idx="44">
                  <c:v>TRANS_C_to_B_Chr15_L15</c:v>
                </c:pt>
                <c:pt idx="45">
                  <c:v>TRANS_C_to_B_Chr15_L17_2</c:v>
                </c:pt>
                <c:pt idx="46">
                  <c:v>TRANS_C_to_B_Chr15_L18</c:v>
                </c:pt>
                <c:pt idx="47">
                  <c:v>TRANS_C_to_B_UNCUTTABLE</c:v>
                </c:pt>
              </c:strCache>
            </c:strRef>
          </c:cat>
          <c:val>
            <c:numRef>
              <c:f>TRANS!$K$3:$K$50</c:f>
              <c:numCache>
                <c:formatCode>0.00</c:formatCode>
                <c:ptCount val="48"/>
                <c:pt idx="0">
                  <c:v>0.88150520416333078</c:v>
                </c:pt>
                <c:pt idx="1">
                  <c:v>2.0618556701030927E-2</c:v>
                </c:pt>
                <c:pt idx="2">
                  <c:v>1.8404907975460124E-2</c:v>
                </c:pt>
                <c:pt idx="3">
                  <c:v>1.398963730569948</c:v>
                </c:pt>
                <c:pt idx="4">
                  <c:v>2.4601769911504423</c:v>
                </c:pt>
                <c:pt idx="5">
                  <c:v>1.3890909090909092</c:v>
                </c:pt>
                <c:pt idx="6">
                  <c:v>1.5809128630705394</c:v>
                </c:pt>
                <c:pt idx="7">
                  <c:v>0.79508196721311475</c:v>
                </c:pt>
                <c:pt idx="8">
                  <c:v>7.1258907363420422E-3</c:v>
                </c:pt>
                <c:pt idx="9">
                  <c:v>0.95789473684210547</c:v>
                </c:pt>
                <c:pt idx="10">
                  <c:v>0.35869565217391308</c:v>
                </c:pt>
                <c:pt idx="11">
                  <c:v>6.7001675041876048E-3</c:v>
                </c:pt>
                <c:pt idx="12">
                  <c:v>7.4999999999999997E-2</c:v>
                </c:pt>
                <c:pt idx="13">
                  <c:v>1.3215859030837003E-2</c:v>
                </c:pt>
                <c:pt idx="14">
                  <c:v>0.23225806451612899</c:v>
                </c:pt>
                <c:pt idx="15">
                  <c:v>0.7231638418079096</c:v>
                </c:pt>
                <c:pt idx="16">
                  <c:v>7.8991596638655459E-2</c:v>
                </c:pt>
                <c:pt idx="17">
                  <c:v>4.1028604449581042E-2</c:v>
                </c:pt>
                <c:pt idx="18">
                  <c:v>0.70331325301204817</c:v>
                </c:pt>
                <c:pt idx="19">
                  <c:v>2</c:v>
                </c:pt>
                <c:pt idx="20">
                  <c:v>2.9126637554585155</c:v>
                </c:pt>
                <c:pt idx="21">
                  <c:v>2.8571428571428571E-2</c:v>
                </c:pt>
                <c:pt idx="22">
                  <c:v>6</c:v>
                </c:pt>
                <c:pt idx="23">
                  <c:v>0.18368745716244003</c:v>
                </c:pt>
                <c:pt idx="24">
                  <c:v>5.365384615384615</c:v>
                </c:pt>
                <c:pt idx="25">
                  <c:v>2.6000000000000005</c:v>
                </c:pt>
                <c:pt idx="26">
                  <c:v>2.8333333333333339</c:v>
                </c:pt>
                <c:pt idx="27">
                  <c:v>9.571428571428573</c:v>
                </c:pt>
                <c:pt idx="28">
                  <c:v>19.071428571428573</c:v>
                </c:pt>
                <c:pt idx="29">
                  <c:v>74.2</c:v>
                </c:pt>
                <c:pt idx="30">
                  <c:v>7.5185185185185182</c:v>
                </c:pt>
                <c:pt idx="31">
                  <c:v>9.6000000000000014</c:v>
                </c:pt>
                <c:pt idx="32">
                  <c:v>2</c:v>
                </c:pt>
                <c:pt idx="33">
                  <c:v>27.400000000000002</c:v>
                </c:pt>
                <c:pt idx="34">
                  <c:v>5.6000000000000005</c:v>
                </c:pt>
                <c:pt idx="35">
                  <c:v>0</c:v>
                </c:pt>
                <c:pt idx="36">
                  <c:v>0.22972972972972977</c:v>
                </c:pt>
                <c:pt idx="37">
                  <c:v>2.3333333333333335</c:v>
                </c:pt>
                <c:pt idx="38">
                  <c:v>1.1111111111111109</c:v>
                </c:pt>
                <c:pt idx="39">
                  <c:v>61.000000000000007</c:v>
                </c:pt>
                <c:pt idx="40">
                  <c:v>3.4000000000000008</c:v>
                </c:pt>
                <c:pt idx="41">
                  <c:v>0.84210526315789469</c:v>
                </c:pt>
                <c:pt idx="42">
                  <c:v>28.9375</c:v>
                </c:pt>
                <c:pt idx="43">
                  <c:v>0</c:v>
                </c:pt>
                <c:pt idx="44">
                  <c:v>2.95</c:v>
                </c:pt>
                <c:pt idx="45">
                  <c:v>0.5</c:v>
                </c:pt>
                <c:pt idx="46">
                  <c:v>0.66666666666666663</c:v>
                </c:pt>
                <c:pt idx="47">
                  <c:v>2.4761904761904758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F-4A56-8EDD-31F0A842103F}"/>
            </c:ext>
          </c:extLst>
        </c:ser>
        <c:ser>
          <c:idx val="1"/>
          <c:order val="1"/>
          <c:tx>
            <c:strRef>
              <c:f>TRANS!$L$2</c:f>
              <c:strCache>
                <c:ptCount val="1"/>
                <c:pt idx="0">
                  <c:v>Ratio (T0/T120)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TRANS!$J$3:$J$50</c:f>
              <c:strCache>
                <c:ptCount val="48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TRANS_C_to_B_Chr15_L04</c:v>
                </c:pt>
                <c:pt idx="44">
                  <c:v>TRANS_C_to_B_Chr15_L15</c:v>
                </c:pt>
                <c:pt idx="45">
                  <c:v>TRANS_C_to_B_Chr15_L17_2</c:v>
                </c:pt>
                <c:pt idx="46">
                  <c:v>TRANS_C_to_B_Chr15_L18</c:v>
                </c:pt>
                <c:pt idx="47">
                  <c:v>TRANS_C_to_B_UNCUTTABLE</c:v>
                </c:pt>
              </c:strCache>
            </c:strRef>
          </c:cat>
          <c:val>
            <c:numRef>
              <c:f>TRANS!$L$3:$L$50</c:f>
              <c:numCache>
                <c:formatCode>0.00</c:formatCode>
                <c:ptCount val="48"/>
                <c:pt idx="0">
                  <c:v>1.1344232515894641</c:v>
                </c:pt>
                <c:pt idx="1">
                  <c:v>48.5</c:v>
                </c:pt>
                <c:pt idx="2">
                  <c:v>54.333333333333329</c:v>
                </c:pt>
                <c:pt idx="3">
                  <c:v>0.7148148148148149</c:v>
                </c:pt>
                <c:pt idx="4">
                  <c:v>0.40647482014388486</c:v>
                </c:pt>
                <c:pt idx="5">
                  <c:v>0.71989528795811508</c:v>
                </c:pt>
                <c:pt idx="6">
                  <c:v>0.63254593175853013</c:v>
                </c:pt>
                <c:pt idx="7">
                  <c:v>1.2577319587628866</c:v>
                </c:pt>
                <c:pt idx="8">
                  <c:v>140.33333333333334</c:v>
                </c:pt>
                <c:pt idx="9">
                  <c:v>1.0439560439560438</c:v>
                </c:pt>
                <c:pt idx="10">
                  <c:v>2.7878787878787876</c:v>
                </c:pt>
                <c:pt idx="11">
                  <c:v>149.25</c:v>
                </c:pt>
                <c:pt idx="12">
                  <c:v>13.333333333333334</c:v>
                </c:pt>
                <c:pt idx="13">
                  <c:v>75.666666666666671</c:v>
                </c:pt>
                <c:pt idx="14">
                  <c:v>4.3055555555555562</c:v>
                </c:pt>
                <c:pt idx="15">
                  <c:v>1.3828125</c:v>
                </c:pt>
                <c:pt idx="16">
                  <c:v>12.659574468085108</c:v>
                </c:pt>
                <c:pt idx="17">
                  <c:v>24.37323943661972</c:v>
                </c:pt>
                <c:pt idx="18">
                  <c:v>1.4218415417558887</c:v>
                </c:pt>
                <c:pt idx="19">
                  <c:v>0.5</c:v>
                </c:pt>
                <c:pt idx="20">
                  <c:v>0.34332833583208394</c:v>
                </c:pt>
                <c:pt idx="21">
                  <c:v>35</c:v>
                </c:pt>
                <c:pt idx="22">
                  <c:v>0.16666666666666669</c:v>
                </c:pt>
                <c:pt idx="23">
                  <c:v>5.4440298507462686</c:v>
                </c:pt>
                <c:pt idx="24">
                  <c:v>0.1863799283154122</c:v>
                </c:pt>
                <c:pt idx="25">
                  <c:v>0.38461538461538453</c:v>
                </c:pt>
                <c:pt idx="26">
                  <c:v>0.3529411764705882</c:v>
                </c:pt>
                <c:pt idx="27">
                  <c:v>0.1044776119402985</c:v>
                </c:pt>
                <c:pt idx="28">
                  <c:v>5.2434456928838954E-2</c:v>
                </c:pt>
                <c:pt idx="29">
                  <c:v>1.3477088948787063E-2</c:v>
                </c:pt>
                <c:pt idx="30">
                  <c:v>0.13300492610837439</c:v>
                </c:pt>
                <c:pt idx="31">
                  <c:v>0.10416666666666666</c:v>
                </c:pt>
                <c:pt idx="32">
                  <c:v>0.5</c:v>
                </c:pt>
                <c:pt idx="33">
                  <c:v>3.6496350364963501E-2</c:v>
                </c:pt>
                <c:pt idx="34">
                  <c:v>0.17857142857142855</c:v>
                </c:pt>
                <c:pt idx="35">
                  <c:v>0</c:v>
                </c:pt>
                <c:pt idx="36">
                  <c:v>4.3529411764705879</c:v>
                </c:pt>
                <c:pt idx="37">
                  <c:v>0.42857142857142855</c:v>
                </c:pt>
                <c:pt idx="38">
                  <c:v>0.90000000000000013</c:v>
                </c:pt>
                <c:pt idx="39">
                  <c:v>1.6393442622950817E-2</c:v>
                </c:pt>
                <c:pt idx="40">
                  <c:v>0.29411764705882348</c:v>
                </c:pt>
                <c:pt idx="41">
                  <c:v>1.1875000000000002</c:v>
                </c:pt>
                <c:pt idx="42">
                  <c:v>3.4557235421166309E-2</c:v>
                </c:pt>
                <c:pt idx="43">
                  <c:v>0</c:v>
                </c:pt>
                <c:pt idx="44">
                  <c:v>0.33898305084745761</c:v>
                </c:pt>
                <c:pt idx="45">
                  <c:v>2</c:v>
                </c:pt>
                <c:pt idx="46">
                  <c:v>1.5</c:v>
                </c:pt>
                <c:pt idx="47">
                  <c:v>0.40384615384615385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F-4A56-8EDD-31F0A842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538063"/>
        <c:axId val="1639537103"/>
      </c:barChart>
      <c:catAx>
        <c:axId val="163953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7103"/>
        <c:crosses val="autoZero"/>
        <c:auto val="1"/>
        <c:lblAlgn val="ctr"/>
        <c:lblOffset val="100"/>
        <c:noMultiLvlLbl val="0"/>
      </c:catAx>
      <c:valAx>
        <c:axId val="163953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265339</xdr:colOff>
      <xdr:row>0</xdr:row>
      <xdr:rowOff>0</xdr:rowOff>
    </xdr:from>
    <xdr:to>
      <xdr:col>30</xdr:col>
      <xdr:colOff>57830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AF1F3-5B25-C12E-447B-ED092ADD5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68036</xdr:colOff>
      <xdr:row>0</xdr:row>
      <xdr:rowOff>0</xdr:rowOff>
    </xdr:from>
    <xdr:to>
      <xdr:col>47</xdr:col>
      <xdr:colOff>472848</xdr:colOff>
      <xdr:row>30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8A169-9EE2-4820-84CF-465742349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244125</xdr:colOff>
      <xdr:row>30</xdr:row>
      <xdr:rowOff>153199</xdr:rowOff>
    </xdr:from>
    <xdr:to>
      <xdr:col>30</xdr:col>
      <xdr:colOff>40820</xdr:colOff>
      <xdr:row>65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936778-2F83-6144-C291-549AE145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265338</xdr:colOff>
      <xdr:row>30</xdr:row>
      <xdr:rowOff>166007</xdr:rowOff>
    </xdr:from>
    <xdr:to>
      <xdr:col>30</xdr:col>
      <xdr:colOff>27214</xdr:colOff>
      <xdr:row>65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BB34AC-47FB-9F9A-B20C-2CEFEF149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0</xdr:row>
      <xdr:rowOff>0</xdr:rowOff>
    </xdr:from>
    <xdr:to>
      <xdr:col>44</xdr:col>
      <xdr:colOff>381000</xdr:colOff>
      <xdr:row>35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99493-1D22-25AE-0E88-962F4500E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61630</xdr:colOff>
      <xdr:row>35</xdr:row>
      <xdr:rowOff>12325</xdr:rowOff>
    </xdr:from>
    <xdr:to>
      <xdr:col>44</xdr:col>
      <xdr:colOff>380999</xdr:colOff>
      <xdr:row>74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EEE12C-D9CE-CFE3-B10B-E63A5873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D2CA-0103-495D-BED6-B17FFEC5BD4A}">
  <dimension ref="A1:O78"/>
  <sheetViews>
    <sheetView topLeftCell="A43" workbookViewId="0">
      <selection activeCell="N29" sqref="N29:N76"/>
    </sheetView>
  </sheetViews>
  <sheetFormatPr defaultRowHeight="15" x14ac:dyDescent="0.25"/>
  <cols>
    <col min="2" max="2" width="28.42578125" bestFit="1" customWidth="1"/>
    <col min="5" max="5" width="28.42578125" bestFit="1" customWidth="1"/>
    <col min="7" max="7" width="19.85546875" bestFit="1" customWidth="1"/>
    <col min="8" max="8" width="13.7109375" bestFit="1" customWidth="1"/>
    <col min="9" max="9" width="12.42578125" bestFit="1" customWidth="1"/>
    <col min="12" max="12" width="28.42578125" bestFit="1" customWidth="1"/>
    <col min="15" max="15" width="28.42578125" bestFit="1" customWidth="1"/>
  </cols>
  <sheetData>
    <row r="1" spans="1:15" ht="15.75" x14ac:dyDescent="0.25">
      <c r="A1" s="9" t="s">
        <v>75</v>
      </c>
      <c r="B1" s="9"/>
      <c r="D1" s="10" t="s">
        <v>76</v>
      </c>
      <c r="E1" s="10"/>
      <c r="G1" s="3"/>
      <c r="H1" s="4" t="s">
        <v>80</v>
      </c>
      <c r="I1" s="4" t="s">
        <v>81</v>
      </c>
      <c r="K1" s="9" t="s">
        <v>75</v>
      </c>
      <c r="L1" s="9"/>
      <c r="N1" s="10" t="s">
        <v>76</v>
      </c>
      <c r="O1" s="10"/>
    </row>
    <row r="2" spans="1:15" ht="15.75" x14ac:dyDescent="0.25">
      <c r="A2" s="1" t="s">
        <v>73</v>
      </c>
      <c r="B2" s="1" t="s">
        <v>74</v>
      </c>
      <c r="D2" s="2" t="s">
        <v>73</v>
      </c>
      <c r="E2" s="2" t="s">
        <v>74</v>
      </c>
      <c r="G2" s="4" t="s">
        <v>82</v>
      </c>
      <c r="H2" s="5">
        <f>SUM(A3:A78)</f>
        <v>404347</v>
      </c>
      <c r="I2" s="5">
        <f>SUM(D3:D78)</f>
        <v>195648</v>
      </c>
      <c r="K2" s="1" t="s">
        <v>73</v>
      </c>
      <c r="L2" s="1" t="s">
        <v>74</v>
      </c>
      <c r="N2" s="2" t="s">
        <v>73</v>
      </c>
      <c r="O2" s="2" t="s">
        <v>74</v>
      </c>
    </row>
    <row r="3" spans="1:15" ht="15.75" x14ac:dyDescent="0.25">
      <c r="A3">
        <v>213677</v>
      </c>
      <c r="B3" t="s">
        <v>79</v>
      </c>
      <c r="D3">
        <v>4224</v>
      </c>
      <c r="E3" t="s">
        <v>79</v>
      </c>
      <c r="G3" s="4" t="s">
        <v>83</v>
      </c>
      <c r="H3" s="7">
        <f>(H2/3077194)*100</f>
        <v>13.140120512388883</v>
      </c>
      <c r="I3" s="3">
        <f>(I2/2679384)*100</f>
        <v>7.3019768722960201</v>
      </c>
      <c r="K3">
        <f>(A3/$H$4)*100</f>
        <v>54.813710802823834</v>
      </c>
      <c r="L3" t="s">
        <v>79</v>
      </c>
      <c r="N3">
        <f>(D3/$H$4)*100</f>
        <v>1.083565916926613</v>
      </c>
      <c r="O3" t="s">
        <v>79</v>
      </c>
    </row>
    <row r="4" spans="1:15" ht="15.75" x14ac:dyDescent="0.25">
      <c r="A4">
        <v>11179</v>
      </c>
      <c r="B4" t="s">
        <v>9</v>
      </c>
      <c r="D4">
        <v>19525</v>
      </c>
      <c r="E4" t="s">
        <v>9</v>
      </c>
      <c r="G4" s="4" t="s">
        <v>84</v>
      </c>
      <c r="H4" s="3">
        <f>SUM(A3:A28)</f>
        <v>389824</v>
      </c>
      <c r="I4" s="3">
        <f>SUM(D3:D28)</f>
        <v>187574</v>
      </c>
      <c r="K4">
        <f t="shared" ref="K4:K28" si="0">(A4/$H$4)*100</f>
        <v>2.8677043999343295</v>
      </c>
      <c r="L4" t="s">
        <v>9</v>
      </c>
      <c r="N4">
        <f t="shared" ref="N4:N28" si="1">(D4/$H$4)*100</f>
        <v>5.0086705795435886</v>
      </c>
      <c r="O4" t="s">
        <v>9</v>
      </c>
    </row>
    <row r="5" spans="1:15" ht="15.75" x14ac:dyDescent="0.25">
      <c r="A5">
        <v>6951</v>
      </c>
      <c r="B5" t="s">
        <v>10</v>
      </c>
      <c r="D5">
        <v>323</v>
      </c>
      <c r="E5" t="s">
        <v>10</v>
      </c>
      <c r="G5" s="4" t="s">
        <v>85</v>
      </c>
      <c r="H5" s="6">
        <f>H4/H2</f>
        <v>0.96408282984664162</v>
      </c>
      <c r="I5" s="6">
        <f>I4/I2</f>
        <v>0.95873200850507034</v>
      </c>
      <c r="K5">
        <f t="shared" si="0"/>
        <v>1.7831123789197176</v>
      </c>
      <c r="L5" t="s">
        <v>10</v>
      </c>
      <c r="N5">
        <f t="shared" si="1"/>
        <v>8.2857905105893942E-2</v>
      </c>
      <c r="O5" t="s">
        <v>10</v>
      </c>
    </row>
    <row r="6" spans="1:15" ht="15.75" x14ac:dyDescent="0.25">
      <c r="A6">
        <v>18031</v>
      </c>
      <c r="B6" t="s">
        <v>11</v>
      </c>
      <c r="D6">
        <v>643</v>
      </c>
      <c r="E6" t="s">
        <v>11</v>
      </c>
      <c r="G6" s="4" t="s">
        <v>86</v>
      </c>
      <c r="H6" s="3">
        <f>SUM(A29:A76)</f>
        <v>14515</v>
      </c>
      <c r="I6" s="3">
        <f>SUM(D29:D76)</f>
        <v>8054</v>
      </c>
      <c r="K6">
        <f t="shared" si="0"/>
        <v>4.6254207026760792</v>
      </c>
      <c r="L6" t="s">
        <v>11</v>
      </c>
      <c r="N6">
        <f t="shared" si="1"/>
        <v>0.16494623214578888</v>
      </c>
      <c r="O6" t="s">
        <v>11</v>
      </c>
    </row>
    <row r="7" spans="1:15" ht="15.75" x14ac:dyDescent="0.25">
      <c r="A7">
        <v>6025</v>
      </c>
      <c r="B7" t="s">
        <v>12</v>
      </c>
      <c r="D7">
        <v>6149</v>
      </c>
      <c r="E7" t="s">
        <v>12</v>
      </c>
      <c r="G7" s="4" t="s">
        <v>87</v>
      </c>
      <c r="H7" s="6">
        <f>H6/H2</f>
        <v>3.5897385166700879E-2</v>
      </c>
      <c r="I7" s="6">
        <f>I6/I2</f>
        <v>4.1165767091920186E-2</v>
      </c>
      <c r="K7">
        <f t="shared" si="0"/>
        <v>1.5455692825480216</v>
      </c>
      <c r="L7" t="s">
        <v>12</v>
      </c>
      <c r="N7">
        <f t="shared" si="1"/>
        <v>1.5773785092759809</v>
      </c>
      <c r="O7" t="s">
        <v>12</v>
      </c>
    </row>
    <row r="8" spans="1:15" ht="15.75" x14ac:dyDescent="0.25">
      <c r="A8">
        <v>11631</v>
      </c>
      <c r="B8" t="s">
        <v>13</v>
      </c>
      <c r="D8">
        <v>9900</v>
      </c>
      <c r="E8" t="s">
        <v>13</v>
      </c>
      <c r="G8" s="4" t="s">
        <v>88</v>
      </c>
      <c r="H8" s="3">
        <f>SUM(A29:A52)</f>
        <v>14057</v>
      </c>
      <c r="I8" s="3">
        <f>SUM(D29:D52)</f>
        <v>5221</v>
      </c>
      <c r="K8">
        <f t="shared" si="0"/>
        <v>2.9836541618781807</v>
      </c>
      <c r="L8" t="s">
        <v>13</v>
      </c>
      <c r="N8">
        <f t="shared" si="1"/>
        <v>2.539607617796749</v>
      </c>
      <c r="O8" t="s">
        <v>13</v>
      </c>
    </row>
    <row r="9" spans="1:15" ht="15.75" x14ac:dyDescent="0.25">
      <c r="A9">
        <v>5507</v>
      </c>
      <c r="B9" t="s">
        <v>14</v>
      </c>
      <c r="D9">
        <v>6796</v>
      </c>
      <c r="E9" t="s">
        <v>14</v>
      </c>
      <c r="G9" s="4" t="s">
        <v>89</v>
      </c>
      <c r="H9" s="6">
        <f>H8/H2</f>
        <v>3.4764694680559025E-2</v>
      </c>
      <c r="I9" s="6">
        <f>I8/I2</f>
        <v>2.6685680405626432E-2</v>
      </c>
      <c r="K9">
        <f t="shared" si="0"/>
        <v>1.4126888031521918</v>
      </c>
      <c r="L9" t="s">
        <v>14</v>
      </c>
      <c r="N9">
        <f t="shared" si="1"/>
        <v>1.7433508455097686</v>
      </c>
      <c r="O9" t="s">
        <v>14</v>
      </c>
    </row>
    <row r="10" spans="1:15" ht="15.75" x14ac:dyDescent="0.25">
      <c r="A10">
        <v>7176</v>
      </c>
      <c r="B10" t="s">
        <v>15</v>
      </c>
      <c r="D10">
        <v>7000</v>
      </c>
      <c r="E10" t="s">
        <v>15</v>
      </c>
      <c r="G10" s="4" t="s">
        <v>90</v>
      </c>
      <c r="H10" s="3">
        <f>SUM(A53:A76)</f>
        <v>458</v>
      </c>
      <c r="I10" s="3">
        <f>SUM(D53:D76)</f>
        <v>2833</v>
      </c>
      <c r="K10">
        <f t="shared" si="0"/>
        <v>1.8408307338696437</v>
      </c>
      <c r="L10" t="s">
        <v>15</v>
      </c>
      <c r="N10">
        <f t="shared" si="1"/>
        <v>1.7956821539977015</v>
      </c>
      <c r="O10" t="s">
        <v>15</v>
      </c>
    </row>
    <row r="11" spans="1:15" ht="15.75" x14ac:dyDescent="0.25">
      <c r="A11">
        <v>5884</v>
      </c>
      <c r="B11" t="s">
        <v>16</v>
      </c>
      <c r="D11">
        <v>9932</v>
      </c>
      <c r="E11" t="s">
        <v>16</v>
      </c>
      <c r="G11" s="4" t="s">
        <v>91</v>
      </c>
      <c r="H11" s="6">
        <f>H10/H2</f>
        <v>1.1326904861418533E-3</v>
      </c>
      <c r="I11" s="6">
        <f>I10/I2</f>
        <v>1.4480086686293752E-2</v>
      </c>
      <c r="K11">
        <f t="shared" si="0"/>
        <v>1.509399113446068</v>
      </c>
      <c r="L11" t="s">
        <v>16</v>
      </c>
      <c r="N11">
        <f t="shared" si="1"/>
        <v>2.5478164505007386</v>
      </c>
      <c r="O11" t="s">
        <v>16</v>
      </c>
    </row>
    <row r="12" spans="1:15" ht="15.75" x14ac:dyDescent="0.25">
      <c r="A12">
        <v>5237</v>
      </c>
      <c r="B12" t="s">
        <v>17</v>
      </c>
      <c r="D12">
        <v>168</v>
      </c>
      <c r="E12" t="s">
        <v>17</v>
      </c>
      <c r="G12" s="3" t="s">
        <v>92</v>
      </c>
      <c r="H12" s="6">
        <f>(D27+D28)/H2</f>
        <v>0.22699067879816098</v>
      </c>
      <c r="I12" s="6">
        <f>(D27+D28)/I2</f>
        <v>0.46912311907098464</v>
      </c>
      <c r="K12">
        <f t="shared" si="0"/>
        <v>1.3434267772122805</v>
      </c>
      <c r="L12" t="s">
        <v>17</v>
      </c>
      <c r="N12">
        <f t="shared" si="1"/>
        <v>4.3096371695944838E-2</v>
      </c>
      <c r="O12" t="s">
        <v>17</v>
      </c>
    </row>
    <row r="13" spans="1:15" ht="15.75" x14ac:dyDescent="0.25">
      <c r="A13">
        <v>3975</v>
      </c>
      <c r="B13" t="s">
        <v>18</v>
      </c>
      <c r="D13">
        <v>4637</v>
      </c>
      <c r="E13" t="s">
        <v>18</v>
      </c>
      <c r="G13" s="3" t="s">
        <v>93</v>
      </c>
      <c r="H13" s="6">
        <f>(A52+A76)/H2</f>
        <v>3.6602225316374301E-3</v>
      </c>
      <c r="I13" s="6">
        <f>(D52+D76)/I2</f>
        <v>1.6355904481517827E-3</v>
      </c>
      <c r="K13">
        <f t="shared" si="0"/>
        <v>1.0196909374486947</v>
      </c>
      <c r="L13" t="s">
        <v>18</v>
      </c>
      <c r="N13">
        <f t="shared" si="1"/>
        <v>1.1895111640124774</v>
      </c>
      <c r="O13" t="s">
        <v>18</v>
      </c>
    </row>
    <row r="14" spans="1:15" ht="15.75" x14ac:dyDescent="0.25">
      <c r="A14">
        <v>3986</v>
      </c>
      <c r="B14" t="s">
        <v>19</v>
      </c>
      <c r="D14">
        <v>1259</v>
      </c>
      <c r="E14" t="s">
        <v>19</v>
      </c>
      <c r="G14" s="3" t="s">
        <v>94</v>
      </c>
      <c r="H14" s="6">
        <f>A3/H2</f>
        <v>0.52844957425181838</v>
      </c>
      <c r="I14" s="6">
        <f>D3/I2</f>
        <v>2.1589793915603533E-2</v>
      </c>
      <c r="K14">
        <f t="shared" si="0"/>
        <v>1.0225127236906912</v>
      </c>
      <c r="L14" t="s">
        <v>19</v>
      </c>
      <c r="N14">
        <f t="shared" si="1"/>
        <v>0.32296626169758663</v>
      </c>
      <c r="O14" t="s">
        <v>19</v>
      </c>
    </row>
    <row r="15" spans="1:15" x14ac:dyDescent="0.25">
      <c r="A15">
        <v>6351</v>
      </c>
      <c r="B15" t="s">
        <v>20</v>
      </c>
      <c r="D15">
        <v>100</v>
      </c>
      <c r="E15" t="s">
        <v>20</v>
      </c>
      <c r="K15">
        <f t="shared" si="0"/>
        <v>1.6291967657199147</v>
      </c>
      <c r="L15" t="s">
        <v>20</v>
      </c>
      <c r="N15">
        <f t="shared" si="1"/>
        <v>2.5652602199967164E-2</v>
      </c>
      <c r="O15" t="s">
        <v>20</v>
      </c>
    </row>
    <row r="16" spans="1:15" x14ac:dyDescent="0.25">
      <c r="A16">
        <v>9969</v>
      </c>
      <c r="B16" t="s">
        <v>21</v>
      </c>
      <c r="D16">
        <v>571</v>
      </c>
      <c r="E16" t="s">
        <v>21</v>
      </c>
      <c r="K16">
        <f t="shared" si="0"/>
        <v>2.5573079133147267</v>
      </c>
      <c r="L16" t="s">
        <v>21</v>
      </c>
      <c r="N16">
        <f t="shared" si="1"/>
        <v>0.14647635856181251</v>
      </c>
      <c r="O16" t="s">
        <v>21</v>
      </c>
    </row>
    <row r="17" spans="1:15" x14ac:dyDescent="0.25">
      <c r="A17">
        <v>7128</v>
      </c>
      <c r="B17" t="s">
        <v>22</v>
      </c>
      <c r="D17">
        <v>172</v>
      </c>
      <c r="E17" t="s">
        <v>22</v>
      </c>
      <c r="K17">
        <f t="shared" si="0"/>
        <v>1.8285174848136594</v>
      </c>
      <c r="L17" t="s">
        <v>22</v>
      </c>
      <c r="N17">
        <f t="shared" si="1"/>
        <v>4.4122475783943522E-2</v>
      </c>
      <c r="O17" t="s">
        <v>22</v>
      </c>
    </row>
    <row r="18" spans="1:15" x14ac:dyDescent="0.25">
      <c r="A18">
        <v>7155</v>
      </c>
      <c r="B18" t="s">
        <v>0</v>
      </c>
      <c r="D18">
        <v>973</v>
      </c>
      <c r="E18" t="s">
        <v>0</v>
      </c>
      <c r="K18">
        <f t="shared" si="0"/>
        <v>1.8354436874076507</v>
      </c>
      <c r="L18" t="s">
        <v>0</v>
      </c>
      <c r="N18">
        <f t="shared" si="1"/>
        <v>0.24959981940568052</v>
      </c>
      <c r="O18" t="s">
        <v>0</v>
      </c>
    </row>
    <row r="19" spans="1:15" x14ac:dyDescent="0.25">
      <c r="A19">
        <v>2998</v>
      </c>
      <c r="B19" t="s">
        <v>1</v>
      </c>
      <c r="D19">
        <v>6311</v>
      </c>
      <c r="E19" t="s">
        <v>1</v>
      </c>
      <c r="K19">
        <f t="shared" si="0"/>
        <v>0.76906501395501559</v>
      </c>
      <c r="L19" t="s">
        <v>1</v>
      </c>
      <c r="N19">
        <f t="shared" si="1"/>
        <v>1.6189357248399279</v>
      </c>
      <c r="O19" t="s">
        <v>1</v>
      </c>
    </row>
    <row r="20" spans="1:15" x14ac:dyDescent="0.25">
      <c r="A20">
        <v>4925</v>
      </c>
      <c r="B20" t="s">
        <v>2</v>
      </c>
      <c r="D20">
        <v>643</v>
      </c>
      <c r="E20" t="s">
        <v>2</v>
      </c>
      <c r="K20">
        <f t="shared" si="0"/>
        <v>1.2633906583483829</v>
      </c>
      <c r="L20" t="s">
        <v>2</v>
      </c>
      <c r="N20">
        <f t="shared" si="1"/>
        <v>0.16494623214578888</v>
      </c>
      <c r="O20" t="s">
        <v>2</v>
      </c>
    </row>
    <row r="21" spans="1:15" x14ac:dyDescent="0.25">
      <c r="A21">
        <v>9546</v>
      </c>
      <c r="B21" t="s">
        <v>3</v>
      </c>
      <c r="D21">
        <v>971</v>
      </c>
      <c r="E21" t="s">
        <v>3</v>
      </c>
      <c r="K21">
        <f t="shared" si="0"/>
        <v>2.4487974060088655</v>
      </c>
      <c r="L21" t="s">
        <v>3</v>
      </c>
      <c r="N21">
        <f t="shared" si="1"/>
        <v>0.24908676736168114</v>
      </c>
      <c r="O21" t="s">
        <v>3</v>
      </c>
    </row>
    <row r="22" spans="1:15" x14ac:dyDescent="0.25">
      <c r="A22">
        <v>11406</v>
      </c>
      <c r="B22" t="s">
        <v>4</v>
      </c>
      <c r="D22">
        <v>7690</v>
      </c>
      <c r="E22" t="s">
        <v>4</v>
      </c>
      <c r="K22">
        <f t="shared" si="0"/>
        <v>2.9259358069282548</v>
      </c>
      <c r="L22" t="s">
        <v>4</v>
      </c>
      <c r="N22">
        <f t="shared" si="1"/>
        <v>1.9726851091774751</v>
      </c>
      <c r="O22" t="s">
        <v>4</v>
      </c>
    </row>
    <row r="23" spans="1:15" x14ac:dyDescent="0.25">
      <c r="A23">
        <v>21</v>
      </c>
      <c r="B23" t="s">
        <v>5</v>
      </c>
      <c r="D23">
        <v>20</v>
      </c>
      <c r="E23" t="s">
        <v>5</v>
      </c>
      <c r="K23">
        <f t="shared" si="0"/>
        <v>5.3870464619931047E-3</v>
      </c>
      <c r="L23" t="s">
        <v>5</v>
      </c>
      <c r="N23">
        <f t="shared" si="1"/>
        <v>5.1305204399934327E-3</v>
      </c>
      <c r="O23" t="s">
        <v>5</v>
      </c>
    </row>
    <row r="24" spans="1:15" x14ac:dyDescent="0.25">
      <c r="A24">
        <v>3935</v>
      </c>
      <c r="B24" t="s">
        <v>6</v>
      </c>
      <c r="D24">
        <v>7147</v>
      </c>
      <c r="E24" t="s">
        <v>6</v>
      </c>
      <c r="K24">
        <f t="shared" si="0"/>
        <v>1.0094298965687079</v>
      </c>
      <c r="L24" t="s">
        <v>6</v>
      </c>
      <c r="N24">
        <f t="shared" si="1"/>
        <v>1.8333914792316532</v>
      </c>
      <c r="O24" t="s">
        <v>6</v>
      </c>
    </row>
    <row r="25" spans="1:15" x14ac:dyDescent="0.25">
      <c r="A25">
        <v>4079</v>
      </c>
      <c r="B25" t="s">
        <v>7</v>
      </c>
      <c r="D25">
        <v>198</v>
      </c>
      <c r="E25" t="s">
        <v>7</v>
      </c>
      <c r="K25">
        <f t="shared" si="0"/>
        <v>1.0463696437366605</v>
      </c>
      <c r="L25" t="s">
        <v>7</v>
      </c>
      <c r="N25">
        <f t="shared" si="1"/>
        <v>5.079215235593499E-2</v>
      </c>
      <c r="O25" t="s">
        <v>7</v>
      </c>
    </row>
    <row r="26" spans="1:15" x14ac:dyDescent="0.25">
      <c r="A26">
        <v>507</v>
      </c>
      <c r="B26" t="s">
        <v>8</v>
      </c>
      <c r="D26">
        <v>439</v>
      </c>
      <c r="E26" t="s">
        <v>8</v>
      </c>
      <c r="K26">
        <f t="shared" si="0"/>
        <v>0.13005869315383353</v>
      </c>
      <c r="L26" t="s">
        <v>8</v>
      </c>
      <c r="N26">
        <f t="shared" si="1"/>
        <v>0.11261492365785584</v>
      </c>
      <c r="O26" t="s">
        <v>8</v>
      </c>
    </row>
    <row r="27" spans="1:15" x14ac:dyDescent="0.25">
      <c r="A27">
        <v>17609</v>
      </c>
      <c r="B27" t="s">
        <v>23</v>
      </c>
      <c r="D27">
        <v>11998</v>
      </c>
      <c r="E27" t="s">
        <v>23</v>
      </c>
      <c r="K27">
        <f t="shared" si="0"/>
        <v>4.5171667213922175</v>
      </c>
      <c r="L27" t="s">
        <v>23</v>
      </c>
      <c r="N27">
        <f t="shared" si="1"/>
        <v>3.0777992119520605</v>
      </c>
      <c r="O27" t="s">
        <v>23</v>
      </c>
    </row>
    <row r="28" spans="1:15" x14ac:dyDescent="0.25">
      <c r="A28">
        <v>4936</v>
      </c>
      <c r="B28" t="s">
        <v>24</v>
      </c>
      <c r="D28">
        <v>79785</v>
      </c>
      <c r="E28" t="s">
        <v>24</v>
      </c>
      <c r="K28">
        <f t="shared" si="0"/>
        <v>1.2662124445903791</v>
      </c>
      <c r="L28" t="s">
        <v>24</v>
      </c>
      <c r="N28">
        <f t="shared" si="1"/>
        <v>20.466928665243802</v>
      </c>
      <c r="O28" t="s">
        <v>24</v>
      </c>
    </row>
    <row r="29" spans="1:15" x14ac:dyDescent="0.25">
      <c r="A29">
        <v>1249</v>
      </c>
      <c r="B29" t="s">
        <v>36</v>
      </c>
      <c r="D29">
        <v>1101</v>
      </c>
      <c r="E29" t="s">
        <v>36</v>
      </c>
      <c r="K29">
        <f>(A29/$H$8)*100</f>
        <v>8.885252898911574</v>
      </c>
      <c r="L29" t="s">
        <v>36</v>
      </c>
      <c r="N29">
        <f>(D29/$H$8)*100</f>
        <v>7.8323966706978734</v>
      </c>
      <c r="O29" t="s">
        <v>36</v>
      </c>
    </row>
    <row r="30" spans="1:15" x14ac:dyDescent="0.25">
      <c r="A30">
        <v>291</v>
      </c>
      <c r="B30" t="s">
        <v>37</v>
      </c>
      <c r="D30">
        <v>6</v>
      </c>
      <c r="E30" t="s">
        <v>37</v>
      </c>
      <c r="K30">
        <f t="shared" ref="K30:K52" si="2">(A30/$H$8)*100</f>
        <v>2.070142989258021</v>
      </c>
      <c r="L30" t="s">
        <v>37</v>
      </c>
      <c r="N30">
        <f t="shared" ref="N30:N52" si="3">(D30/$H$8)*100</f>
        <v>4.2683360603258162E-2</v>
      </c>
      <c r="O30" t="s">
        <v>37</v>
      </c>
    </row>
    <row r="31" spans="1:15" x14ac:dyDescent="0.25">
      <c r="A31">
        <v>1630</v>
      </c>
      <c r="B31" t="s">
        <v>38</v>
      </c>
      <c r="D31">
        <v>30</v>
      </c>
      <c r="E31" t="s">
        <v>38</v>
      </c>
      <c r="K31">
        <f t="shared" si="2"/>
        <v>11.595646297218467</v>
      </c>
      <c r="L31" t="s">
        <v>38</v>
      </c>
      <c r="N31">
        <f t="shared" si="3"/>
        <v>0.21341680301629082</v>
      </c>
      <c r="O31" t="s">
        <v>38</v>
      </c>
    </row>
    <row r="32" spans="1:15" x14ac:dyDescent="0.25">
      <c r="A32">
        <v>193</v>
      </c>
      <c r="B32" t="s">
        <v>39</v>
      </c>
      <c r="D32">
        <v>270</v>
      </c>
      <c r="E32" t="s">
        <v>39</v>
      </c>
      <c r="K32">
        <f t="shared" si="2"/>
        <v>1.3729814327381376</v>
      </c>
      <c r="L32" t="s">
        <v>39</v>
      </c>
      <c r="N32">
        <f t="shared" si="3"/>
        <v>1.9207512271466172</v>
      </c>
      <c r="O32" t="s">
        <v>39</v>
      </c>
    </row>
    <row r="33" spans="1:15" x14ac:dyDescent="0.25">
      <c r="A33">
        <v>339</v>
      </c>
      <c r="B33" t="s">
        <v>40</v>
      </c>
      <c r="D33">
        <v>834</v>
      </c>
      <c r="E33" t="s">
        <v>40</v>
      </c>
      <c r="K33">
        <f t="shared" si="2"/>
        <v>2.4116098740840863</v>
      </c>
      <c r="L33" t="s">
        <v>40</v>
      </c>
      <c r="N33">
        <f t="shared" si="3"/>
        <v>5.9329871238528851</v>
      </c>
      <c r="O33" t="s">
        <v>40</v>
      </c>
    </row>
    <row r="34" spans="1:15" x14ac:dyDescent="0.25">
      <c r="A34">
        <v>275</v>
      </c>
      <c r="B34" t="s">
        <v>41</v>
      </c>
      <c r="D34">
        <v>382</v>
      </c>
      <c r="E34" t="s">
        <v>41</v>
      </c>
      <c r="K34">
        <f t="shared" si="2"/>
        <v>1.956320694315999</v>
      </c>
      <c r="L34" t="s">
        <v>41</v>
      </c>
      <c r="N34">
        <f t="shared" si="3"/>
        <v>2.7175072917407697</v>
      </c>
      <c r="O34" t="s">
        <v>41</v>
      </c>
    </row>
    <row r="35" spans="1:15" x14ac:dyDescent="0.25">
      <c r="A35">
        <v>241</v>
      </c>
      <c r="B35" t="s">
        <v>42</v>
      </c>
      <c r="D35">
        <v>381</v>
      </c>
      <c r="E35" t="s">
        <v>42</v>
      </c>
      <c r="K35">
        <f t="shared" si="2"/>
        <v>1.7144483175642027</v>
      </c>
      <c r="L35" t="s">
        <v>42</v>
      </c>
      <c r="N35">
        <f t="shared" si="3"/>
        <v>2.7103933983068931</v>
      </c>
      <c r="O35" t="s">
        <v>42</v>
      </c>
    </row>
    <row r="36" spans="1:15" x14ac:dyDescent="0.25">
      <c r="A36">
        <v>244</v>
      </c>
      <c r="B36" t="s">
        <v>43</v>
      </c>
      <c r="D36">
        <v>194</v>
      </c>
      <c r="E36" t="s">
        <v>43</v>
      </c>
      <c r="K36">
        <f t="shared" si="2"/>
        <v>1.735789997865832</v>
      </c>
      <c r="L36" t="s">
        <v>43</v>
      </c>
      <c r="N36">
        <f t="shared" si="3"/>
        <v>1.3800953261720139</v>
      </c>
      <c r="O36" t="s">
        <v>43</v>
      </c>
    </row>
    <row r="37" spans="1:15" x14ac:dyDescent="0.25">
      <c r="A37">
        <v>842</v>
      </c>
      <c r="B37" t="s">
        <v>44</v>
      </c>
      <c r="D37">
        <v>6</v>
      </c>
      <c r="E37" t="s">
        <v>44</v>
      </c>
      <c r="K37">
        <f t="shared" si="2"/>
        <v>5.989898271323896</v>
      </c>
      <c r="L37" t="s">
        <v>44</v>
      </c>
      <c r="N37">
        <f t="shared" si="3"/>
        <v>4.2683360603258162E-2</v>
      </c>
      <c r="O37" t="s">
        <v>44</v>
      </c>
    </row>
    <row r="38" spans="1:15" x14ac:dyDescent="0.25">
      <c r="A38">
        <v>190</v>
      </c>
      <c r="B38" t="s">
        <v>45</v>
      </c>
      <c r="D38">
        <v>182</v>
      </c>
      <c r="E38" t="s">
        <v>45</v>
      </c>
      <c r="K38">
        <f t="shared" si="2"/>
        <v>1.3516397524365085</v>
      </c>
      <c r="L38" t="s">
        <v>45</v>
      </c>
      <c r="N38">
        <f t="shared" si="3"/>
        <v>1.2947286049654978</v>
      </c>
      <c r="O38" t="s">
        <v>45</v>
      </c>
    </row>
    <row r="39" spans="1:15" x14ac:dyDescent="0.25">
      <c r="A39">
        <v>92</v>
      </c>
      <c r="B39" t="s">
        <v>46</v>
      </c>
      <c r="D39">
        <v>33</v>
      </c>
      <c r="E39" t="s">
        <v>46</v>
      </c>
      <c r="K39">
        <f t="shared" si="2"/>
        <v>0.65447819591662515</v>
      </c>
      <c r="L39" t="s">
        <v>46</v>
      </c>
      <c r="N39">
        <f t="shared" si="3"/>
        <v>0.2347584833179199</v>
      </c>
      <c r="O39" t="s">
        <v>46</v>
      </c>
    </row>
    <row r="40" spans="1:15" x14ac:dyDescent="0.25">
      <c r="A40">
        <v>597</v>
      </c>
      <c r="B40" t="s">
        <v>47</v>
      </c>
      <c r="D40">
        <v>4</v>
      </c>
      <c r="E40" t="s">
        <v>47</v>
      </c>
      <c r="K40">
        <f t="shared" si="2"/>
        <v>4.2469943800241872</v>
      </c>
      <c r="L40" t="s">
        <v>47</v>
      </c>
      <c r="N40">
        <f t="shared" si="3"/>
        <v>2.8455573735505443E-2</v>
      </c>
      <c r="O40" t="s">
        <v>47</v>
      </c>
    </row>
    <row r="41" spans="1:15" x14ac:dyDescent="0.25">
      <c r="A41">
        <v>240</v>
      </c>
      <c r="B41" t="s">
        <v>48</v>
      </c>
      <c r="D41">
        <v>18</v>
      </c>
      <c r="E41" t="s">
        <v>48</v>
      </c>
      <c r="K41">
        <f t="shared" si="2"/>
        <v>1.7073344241303265</v>
      </c>
      <c r="L41" t="s">
        <v>48</v>
      </c>
      <c r="N41">
        <f t="shared" si="3"/>
        <v>0.12805008180977448</v>
      </c>
      <c r="O41" t="s">
        <v>48</v>
      </c>
    </row>
    <row r="42" spans="1:15" x14ac:dyDescent="0.25">
      <c r="A42">
        <v>681</v>
      </c>
      <c r="B42" t="s">
        <v>49</v>
      </c>
      <c r="D42">
        <v>9</v>
      </c>
      <c r="E42" t="s">
        <v>49</v>
      </c>
      <c r="K42">
        <f t="shared" si="2"/>
        <v>4.8445614284698015</v>
      </c>
      <c r="L42" t="s">
        <v>49</v>
      </c>
      <c r="N42">
        <f t="shared" si="3"/>
        <v>6.402504090488724E-2</v>
      </c>
      <c r="O42" t="s">
        <v>49</v>
      </c>
    </row>
    <row r="43" spans="1:15" x14ac:dyDescent="0.25">
      <c r="A43">
        <v>155</v>
      </c>
      <c r="B43" t="s">
        <v>27</v>
      </c>
      <c r="D43">
        <v>36</v>
      </c>
      <c r="E43" t="s">
        <v>27</v>
      </c>
      <c r="K43">
        <f t="shared" si="2"/>
        <v>1.102653482250836</v>
      </c>
      <c r="L43" t="s">
        <v>27</v>
      </c>
      <c r="N43">
        <f t="shared" si="3"/>
        <v>0.25610016361954896</v>
      </c>
      <c r="O43" t="s">
        <v>27</v>
      </c>
    </row>
    <row r="44" spans="1:15" x14ac:dyDescent="0.25">
      <c r="A44">
        <v>177</v>
      </c>
      <c r="B44" t="s">
        <v>28</v>
      </c>
      <c r="D44">
        <v>128</v>
      </c>
      <c r="E44" t="s">
        <v>28</v>
      </c>
      <c r="K44">
        <f t="shared" si="2"/>
        <v>1.2591591377961158</v>
      </c>
      <c r="L44" t="s">
        <v>28</v>
      </c>
      <c r="N44">
        <f t="shared" si="3"/>
        <v>0.91057835953617416</v>
      </c>
      <c r="O44" t="s">
        <v>28</v>
      </c>
    </row>
    <row r="45" spans="1:15" x14ac:dyDescent="0.25">
      <c r="A45">
        <v>595</v>
      </c>
      <c r="B45" t="s">
        <v>29</v>
      </c>
      <c r="D45">
        <v>47</v>
      </c>
      <c r="E45" t="s">
        <v>29</v>
      </c>
      <c r="K45">
        <f t="shared" si="2"/>
        <v>4.2327665931564349</v>
      </c>
      <c r="L45" t="s">
        <v>29</v>
      </c>
      <c r="N45">
        <f t="shared" si="3"/>
        <v>0.33435299139218894</v>
      </c>
      <c r="O45" t="s">
        <v>29</v>
      </c>
    </row>
    <row r="46" spans="1:15" x14ac:dyDescent="0.25">
      <c r="A46">
        <v>3461</v>
      </c>
      <c r="B46" t="s">
        <v>30</v>
      </c>
      <c r="D46">
        <v>142</v>
      </c>
      <c r="E46" t="s">
        <v>30</v>
      </c>
      <c r="K46">
        <f t="shared" si="2"/>
        <v>24.621185174646083</v>
      </c>
      <c r="L46" t="s">
        <v>30</v>
      </c>
      <c r="N46">
        <f t="shared" si="3"/>
        <v>1.0101728676104431</v>
      </c>
      <c r="O46" t="s">
        <v>30</v>
      </c>
    </row>
    <row r="47" spans="1:15" x14ac:dyDescent="0.25">
      <c r="A47">
        <v>664</v>
      </c>
      <c r="B47" t="s">
        <v>31</v>
      </c>
      <c r="D47">
        <v>467</v>
      </c>
      <c r="E47" t="s">
        <v>31</v>
      </c>
      <c r="K47">
        <f t="shared" si="2"/>
        <v>4.7236252400939032</v>
      </c>
      <c r="L47" t="s">
        <v>31</v>
      </c>
      <c r="N47">
        <f t="shared" si="3"/>
        <v>3.3221882336202602</v>
      </c>
      <c r="O47" t="s">
        <v>31</v>
      </c>
    </row>
    <row r="48" spans="1:15" x14ac:dyDescent="0.25">
      <c r="A48">
        <v>2</v>
      </c>
      <c r="B48" t="s">
        <v>32</v>
      </c>
      <c r="D48">
        <v>4</v>
      </c>
      <c r="E48" t="s">
        <v>32</v>
      </c>
      <c r="K48">
        <f t="shared" si="2"/>
        <v>1.4227786867752721E-2</v>
      </c>
      <c r="L48" t="s">
        <v>32</v>
      </c>
      <c r="N48">
        <f t="shared" si="3"/>
        <v>2.8455573735505443E-2</v>
      </c>
      <c r="O48" t="s">
        <v>32</v>
      </c>
    </row>
    <row r="49" spans="1:15" x14ac:dyDescent="0.25">
      <c r="A49">
        <v>229</v>
      </c>
      <c r="B49" t="s">
        <v>33</v>
      </c>
      <c r="D49">
        <v>667</v>
      </c>
      <c r="E49" t="s">
        <v>33</v>
      </c>
      <c r="K49">
        <f t="shared" si="2"/>
        <v>1.6290815963576863</v>
      </c>
      <c r="L49" t="s">
        <v>33</v>
      </c>
      <c r="N49">
        <f t="shared" si="3"/>
        <v>4.744966920395532</v>
      </c>
      <c r="O49" t="s">
        <v>33</v>
      </c>
    </row>
    <row r="50" spans="1:15" x14ac:dyDescent="0.25">
      <c r="A50">
        <v>210</v>
      </c>
      <c r="B50" t="s">
        <v>34</v>
      </c>
      <c r="D50">
        <v>6</v>
      </c>
      <c r="E50" t="s">
        <v>34</v>
      </c>
      <c r="K50">
        <f t="shared" si="2"/>
        <v>1.4939176211140357</v>
      </c>
      <c r="L50" t="s">
        <v>34</v>
      </c>
      <c r="N50">
        <f t="shared" si="3"/>
        <v>4.2683360603258162E-2</v>
      </c>
      <c r="O50" t="s">
        <v>34</v>
      </c>
    </row>
    <row r="51" spans="1:15" x14ac:dyDescent="0.25">
      <c r="A51">
        <v>1</v>
      </c>
      <c r="B51" t="s">
        <v>35</v>
      </c>
      <c r="D51">
        <v>6</v>
      </c>
      <c r="E51" t="s">
        <v>35</v>
      </c>
      <c r="K51">
        <f t="shared" si="2"/>
        <v>7.1138934338763607E-3</v>
      </c>
      <c r="L51" t="s">
        <v>35</v>
      </c>
      <c r="N51">
        <f t="shared" si="3"/>
        <v>4.2683360603258162E-2</v>
      </c>
      <c r="O51" t="s">
        <v>35</v>
      </c>
    </row>
    <row r="52" spans="1:15" x14ac:dyDescent="0.25">
      <c r="A52">
        <v>1459</v>
      </c>
      <c r="B52" t="s">
        <v>50</v>
      </c>
      <c r="D52">
        <v>268</v>
      </c>
      <c r="E52" t="s">
        <v>50</v>
      </c>
      <c r="K52">
        <f t="shared" si="2"/>
        <v>10.37917052002561</v>
      </c>
      <c r="L52" t="s">
        <v>50</v>
      </c>
      <c r="N52">
        <f t="shared" si="3"/>
        <v>1.9065234402788647</v>
      </c>
      <c r="O52" t="s">
        <v>50</v>
      </c>
    </row>
    <row r="53" spans="1:15" x14ac:dyDescent="0.25">
      <c r="A53">
        <v>52</v>
      </c>
      <c r="B53" t="s">
        <v>58</v>
      </c>
      <c r="D53">
        <v>279</v>
      </c>
      <c r="E53" t="s">
        <v>58</v>
      </c>
      <c r="K53">
        <f>(A53/$H$10)*100</f>
        <v>11.353711790393014</v>
      </c>
      <c r="L53" t="s">
        <v>58</v>
      </c>
      <c r="N53">
        <f>(D53/$H$10)*100</f>
        <v>60.917030567685593</v>
      </c>
      <c r="O53" t="s">
        <v>58</v>
      </c>
    </row>
    <row r="54" spans="1:15" x14ac:dyDescent="0.25">
      <c r="A54">
        <v>5</v>
      </c>
      <c r="B54" t="s">
        <v>59</v>
      </c>
      <c r="D54">
        <v>13</v>
      </c>
      <c r="E54" t="s">
        <v>59</v>
      </c>
      <c r="K54">
        <f t="shared" ref="K54:K76" si="4">(A54/$H$10)*100</f>
        <v>1.0917030567685588</v>
      </c>
      <c r="L54" t="s">
        <v>59</v>
      </c>
      <c r="N54">
        <f t="shared" ref="N54:N76" si="5">(D54/$H$10)*100</f>
        <v>2.8384279475982535</v>
      </c>
      <c r="O54" t="s">
        <v>59</v>
      </c>
    </row>
    <row r="55" spans="1:15" x14ac:dyDescent="0.25">
      <c r="A55">
        <v>12</v>
      </c>
      <c r="B55" t="s">
        <v>60</v>
      </c>
      <c r="D55">
        <v>34</v>
      </c>
      <c r="E55" t="s">
        <v>60</v>
      </c>
      <c r="K55">
        <f t="shared" si="4"/>
        <v>2.6200873362445414</v>
      </c>
      <c r="L55" t="s">
        <v>60</v>
      </c>
      <c r="N55">
        <f t="shared" si="5"/>
        <v>7.4235807860262017</v>
      </c>
      <c r="O55" t="s">
        <v>60</v>
      </c>
    </row>
    <row r="56" spans="1:15" x14ac:dyDescent="0.25">
      <c r="A56">
        <v>14</v>
      </c>
      <c r="B56" t="s">
        <v>61</v>
      </c>
      <c r="D56">
        <v>134</v>
      </c>
      <c r="E56" t="s">
        <v>61</v>
      </c>
      <c r="K56">
        <f t="shared" si="4"/>
        <v>3.0567685589519651</v>
      </c>
      <c r="L56" t="s">
        <v>61</v>
      </c>
      <c r="N56">
        <f t="shared" si="5"/>
        <v>29.257641921397383</v>
      </c>
      <c r="O56" t="s">
        <v>61</v>
      </c>
    </row>
    <row r="57" spans="1:15" x14ac:dyDescent="0.25">
      <c r="A57">
        <v>28</v>
      </c>
      <c r="B57" t="s">
        <v>62</v>
      </c>
      <c r="D57">
        <v>534</v>
      </c>
      <c r="E57" t="s">
        <v>62</v>
      </c>
      <c r="K57">
        <f t="shared" si="4"/>
        <v>6.1135371179039302</v>
      </c>
      <c r="L57" t="s">
        <v>62</v>
      </c>
      <c r="N57">
        <f t="shared" si="5"/>
        <v>116.5938864628821</v>
      </c>
      <c r="O57" t="s">
        <v>62</v>
      </c>
    </row>
    <row r="58" spans="1:15" x14ac:dyDescent="0.25">
      <c r="A58">
        <v>5</v>
      </c>
      <c r="B58" t="s">
        <v>63</v>
      </c>
      <c r="D58">
        <v>371</v>
      </c>
      <c r="E58" t="s">
        <v>63</v>
      </c>
      <c r="K58">
        <f t="shared" si="4"/>
        <v>1.0917030567685588</v>
      </c>
      <c r="L58" t="s">
        <v>63</v>
      </c>
      <c r="N58">
        <f t="shared" si="5"/>
        <v>81.004366812227062</v>
      </c>
      <c r="O58" t="s">
        <v>63</v>
      </c>
    </row>
    <row r="59" spans="1:15" x14ac:dyDescent="0.25">
      <c r="A59">
        <v>27</v>
      </c>
      <c r="B59" t="s">
        <v>64</v>
      </c>
      <c r="D59">
        <v>203</v>
      </c>
      <c r="E59" t="s">
        <v>64</v>
      </c>
      <c r="K59">
        <f t="shared" si="4"/>
        <v>5.8951965065502181</v>
      </c>
      <c r="L59" t="s">
        <v>64</v>
      </c>
      <c r="N59">
        <f t="shared" si="5"/>
        <v>44.32314410480349</v>
      </c>
      <c r="O59" t="s">
        <v>64</v>
      </c>
    </row>
    <row r="60" spans="1:15" x14ac:dyDescent="0.25">
      <c r="A60">
        <v>5</v>
      </c>
      <c r="B60" t="s">
        <v>65</v>
      </c>
      <c r="D60">
        <v>48</v>
      </c>
      <c r="E60" t="s">
        <v>65</v>
      </c>
      <c r="K60">
        <f t="shared" si="4"/>
        <v>1.0917030567685588</v>
      </c>
      <c r="L60" t="s">
        <v>65</v>
      </c>
      <c r="N60">
        <f t="shared" si="5"/>
        <v>10.480349344978166</v>
      </c>
      <c r="O60" t="s">
        <v>65</v>
      </c>
    </row>
    <row r="61" spans="1:15" x14ac:dyDescent="0.25">
      <c r="A61">
        <v>2</v>
      </c>
      <c r="B61" t="s">
        <v>66</v>
      </c>
      <c r="D61">
        <v>4</v>
      </c>
      <c r="E61" t="s">
        <v>66</v>
      </c>
      <c r="K61">
        <f t="shared" si="4"/>
        <v>0.43668122270742354</v>
      </c>
      <c r="L61" t="s">
        <v>66</v>
      </c>
      <c r="N61">
        <f t="shared" si="5"/>
        <v>0.87336244541484709</v>
      </c>
      <c r="O61" t="s">
        <v>66</v>
      </c>
    </row>
    <row r="62" spans="1:15" x14ac:dyDescent="0.25">
      <c r="A62">
        <v>5</v>
      </c>
      <c r="B62" t="s">
        <v>67</v>
      </c>
      <c r="D62">
        <v>137</v>
      </c>
      <c r="E62" t="s">
        <v>67</v>
      </c>
      <c r="K62">
        <f t="shared" si="4"/>
        <v>1.0917030567685588</v>
      </c>
      <c r="L62" t="s">
        <v>67</v>
      </c>
      <c r="N62">
        <f t="shared" si="5"/>
        <v>29.912663755458514</v>
      </c>
      <c r="O62" t="s">
        <v>67</v>
      </c>
    </row>
    <row r="63" spans="1:15" x14ac:dyDescent="0.25">
      <c r="A63">
        <v>20</v>
      </c>
      <c r="B63" t="s">
        <v>68</v>
      </c>
      <c r="D63">
        <v>112</v>
      </c>
      <c r="E63" t="s">
        <v>68</v>
      </c>
      <c r="K63">
        <f t="shared" si="4"/>
        <v>4.3668122270742353</v>
      </c>
      <c r="L63" t="s">
        <v>68</v>
      </c>
      <c r="N63">
        <f t="shared" si="5"/>
        <v>24.454148471615721</v>
      </c>
      <c r="O63" t="s">
        <v>68</v>
      </c>
    </row>
    <row r="64" spans="1:15" x14ac:dyDescent="0.25">
      <c r="A64">
        <v>6</v>
      </c>
      <c r="B64" t="s">
        <v>69</v>
      </c>
      <c r="D64">
        <v>0</v>
      </c>
      <c r="E64" t="s">
        <v>69</v>
      </c>
      <c r="K64">
        <f t="shared" si="4"/>
        <v>1.3100436681222707</v>
      </c>
      <c r="L64" t="s">
        <v>69</v>
      </c>
      <c r="N64">
        <f t="shared" si="5"/>
        <v>0</v>
      </c>
      <c r="O64" t="s">
        <v>69</v>
      </c>
    </row>
    <row r="65" spans="1:15" x14ac:dyDescent="0.25">
      <c r="A65">
        <v>74</v>
      </c>
      <c r="B65" t="s">
        <v>70</v>
      </c>
      <c r="D65">
        <v>17</v>
      </c>
      <c r="E65" t="s">
        <v>70</v>
      </c>
      <c r="K65">
        <f t="shared" si="4"/>
        <v>16.157205240174672</v>
      </c>
      <c r="L65" t="s">
        <v>70</v>
      </c>
      <c r="N65">
        <f t="shared" si="5"/>
        <v>3.7117903930131009</v>
      </c>
      <c r="O65" t="s">
        <v>70</v>
      </c>
    </row>
    <row r="66" spans="1:15" x14ac:dyDescent="0.25">
      <c r="A66">
        <v>6</v>
      </c>
      <c r="B66" t="s">
        <v>71</v>
      </c>
      <c r="D66">
        <v>14</v>
      </c>
      <c r="E66" t="s">
        <v>71</v>
      </c>
      <c r="K66">
        <f t="shared" si="4"/>
        <v>1.3100436681222707</v>
      </c>
      <c r="L66" t="s">
        <v>71</v>
      </c>
      <c r="N66">
        <f t="shared" si="5"/>
        <v>3.0567685589519651</v>
      </c>
      <c r="O66" t="s">
        <v>71</v>
      </c>
    </row>
    <row r="67" spans="1:15" x14ac:dyDescent="0.25">
      <c r="A67">
        <v>9</v>
      </c>
      <c r="B67" t="s">
        <v>51</v>
      </c>
      <c r="D67">
        <v>10</v>
      </c>
      <c r="E67" t="s">
        <v>51</v>
      </c>
      <c r="K67">
        <f t="shared" si="4"/>
        <v>1.9650655021834063</v>
      </c>
      <c r="L67" t="s">
        <v>51</v>
      </c>
      <c r="N67">
        <f t="shared" si="5"/>
        <v>2.1834061135371177</v>
      </c>
      <c r="O67" t="s">
        <v>51</v>
      </c>
    </row>
    <row r="68" spans="1:15" x14ac:dyDescent="0.25">
      <c r="A68">
        <v>1</v>
      </c>
      <c r="B68" t="s">
        <v>52</v>
      </c>
      <c r="D68">
        <v>61</v>
      </c>
      <c r="E68" t="s">
        <v>52</v>
      </c>
      <c r="K68">
        <f t="shared" si="4"/>
        <v>0.21834061135371177</v>
      </c>
      <c r="L68" t="s">
        <v>52</v>
      </c>
      <c r="N68">
        <f t="shared" si="5"/>
        <v>13.318777292576419</v>
      </c>
      <c r="O68" t="s">
        <v>52</v>
      </c>
    </row>
    <row r="69" spans="1:15" x14ac:dyDescent="0.25">
      <c r="A69">
        <v>5</v>
      </c>
      <c r="B69" t="s">
        <v>53</v>
      </c>
      <c r="D69">
        <v>17</v>
      </c>
      <c r="E69" t="s">
        <v>53</v>
      </c>
      <c r="K69">
        <f t="shared" si="4"/>
        <v>1.0917030567685588</v>
      </c>
      <c r="L69" t="s">
        <v>53</v>
      </c>
      <c r="N69">
        <f t="shared" si="5"/>
        <v>3.7117903930131009</v>
      </c>
      <c r="O69" t="s">
        <v>53</v>
      </c>
    </row>
    <row r="70" spans="1:15" x14ac:dyDescent="0.25">
      <c r="A70">
        <v>38</v>
      </c>
      <c r="B70" t="s">
        <v>54</v>
      </c>
      <c r="D70">
        <v>32</v>
      </c>
      <c r="E70" t="s">
        <v>54</v>
      </c>
      <c r="K70">
        <f t="shared" si="4"/>
        <v>8.2969432314410483</v>
      </c>
      <c r="L70" t="s">
        <v>54</v>
      </c>
      <c r="N70">
        <f t="shared" si="5"/>
        <v>6.9868995633187767</v>
      </c>
      <c r="O70" t="s">
        <v>54</v>
      </c>
    </row>
    <row r="71" spans="1:15" x14ac:dyDescent="0.25">
      <c r="A71">
        <v>16</v>
      </c>
      <c r="B71" t="s">
        <v>55</v>
      </c>
      <c r="D71">
        <v>463</v>
      </c>
      <c r="E71" t="s">
        <v>55</v>
      </c>
      <c r="K71">
        <f t="shared" si="4"/>
        <v>3.4934497816593884</v>
      </c>
      <c r="L71" t="s">
        <v>55</v>
      </c>
      <c r="N71">
        <f t="shared" si="5"/>
        <v>101.09170305676855</v>
      </c>
      <c r="O71" t="s">
        <v>55</v>
      </c>
    </row>
    <row r="72" spans="1:15" x14ac:dyDescent="0.25">
      <c r="A72">
        <v>2</v>
      </c>
      <c r="B72" t="s">
        <v>56</v>
      </c>
      <c r="D72">
        <v>0</v>
      </c>
      <c r="E72" t="s">
        <v>56</v>
      </c>
      <c r="K72">
        <f t="shared" si="4"/>
        <v>0.43668122270742354</v>
      </c>
      <c r="L72" t="s">
        <v>56</v>
      </c>
      <c r="N72">
        <f t="shared" si="5"/>
        <v>0</v>
      </c>
      <c r="O72" t="s">
        <v>56</v>
      </c>
    </row>
    <row r="73" spans="1:15" x14ac:dyDescent="0.25">
      <c r="A73">
        <v>100</v>
      </c>
      <c r="B73" t="s">
        <v>57</v>
      </c>
      <c r="D73">
        <v>295</v>
      </c>
      <c r="E73" t="s">
        <v>57</v>
      </c>
      <c r="K73">
        <f t="shared" si="4"/>
        <v>21.834061135371179</v>
      </c>
      <c r="L73" t="s">
        <v>57</v>
      </c>
      <c r="N73">
        <f t="shared" si="5"/>
        <v>64.410480349344979</v>
      </c>
      <c r="O73" t="s">
        <v>57</v>
      </c>
    </row>
    <row r="74" spans="1:15" x14ac:dyDescent="0.25">
      <c r="A74">
        <v>2</v>
      </c>
      <c r="B74" t="s">
        <v>77</v>
      </c>
      <c r="D74">
        <v>1</v>
      </c>
      <c r="E74" t="s">
        <v>77</v>
      </c>
      <c r="K74">
        <f t="shared" si="4"/>
        <v>0.43668122270742354</v>
      </c>
      <c r="L74" t="s">
        <v>77</v>
      </c>
      <c r="N74">
        <f t="shared" si="5"/>
        <v>0.21834061135371177</v>
      </c>
      <c r="O74" t="s">
        <v>77</v>
      </c>
    </row>
    <row r="75" spans="1:15" x14ac:dyDescent="0.25">
      <c r="A75">
        <v>3</v>
      </c>
      <c r="B75" t="s">
        <v>78</v>
      </c>
      <c r="D75">
        <v>2</v>
      </c>
      <c r="E75" t="s">
        <v>78</v>
      </c>
      <c r="K75">
        <f t="shared" si="4"/>
        <v>0.65502183406113534</v>
      </c>
      <c r="L75" t="s">
        <v>78</v>
      </c>
      <c r="N75">
        <f t="shared" si="5"/>
        <v>0.43668122270742354</v>
      </c>
      <c r="O75" t="s">
        <v>78</v>
      </c>
    </row>
    <row r="76" spans="1:15" x14ac:dyDescent="0.25">
      <c r="A76">
        <v>21</v>
      </c>
      <c r="B76" t="s">
        <v>72</v>
      </c>
      <c r="D76">
        <v>52</v>
      </c>
      <c r="E76" t="s">
        <v>72</v>
      </c>
      <c r="K76">
        <f t="shared" si="4"/>
        <v>4.5851528384279483</v>
      </c>
      <c r="L76" t="s">
        <v>72</v>
      </c>
      <c r="N76">
        <f t="shared" si="5"/>
        <v>11.353711790393014</v>
      </c>
      <c r="O76" t="s">
        <v>72</v>
      </c>
    </row>
    <row r="77" spans="1:15" x14ac:dyDescent="0.25">
      <c r="A77">
        <v>1</v>
      </c>
      <c r="B77" t="s">
        <v>25</v>
      </c>
      <c r="D77">
        <v>4</v>
      </c>
      <c r="E77" t="s">
        <v>25</v>
      </c>
      <c r="L77" t="s">
        <v>25</v>
      </c>
      <c r="O77" t="s">
        <v>25</v>
      </c>
    </row>
    <row r="78" spans="1:15" x14ac:dyDescent="0.25">
      <c r="A78">
        <v>7</v>
      </c>
      <c r="B78" t="s">
        <v>26</v>
      </c>
      <c r="D78">
        <v>16</v>
      </c>
      <c r="E78" t="s">
        <v>26</v>
      </c>
      <c r="L78" t="s">
        <v>26</v>
      </c>
      <c r="O78" t="s">
        <v>26</v>
      </c>
    </row>
  </sheetData>
  <mergeCells count="4">
    <mergeCell ref="A1:B1"/>
    <mergeCell ref="D1:E1"/>
    <mergeCell ref="K1:L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E155-B6CC-4575-93DE-9E4301300EC6}">
  <dimension ref="A1:L28"/>
  <sheetViews>
    <sheetView tabSelected="1" zoomScale="70" zoomScaleNormal="70" workbookViewId="0">
      <selection activeCell="J2" sqref="J2:L28"/>
    </sheetView>
  </sheetViews>
  <sheetFormatPr defaultRowHeight="15" x14ac:dyDescent="0.25"/>
  <cols>
    <col min="2" max="2" width="28.42578125" bestFit="1" customWidth="1"/>
    <col min="5" max="5" width="28.42578125" bestFit="1" customWidth="1"/>
    <col min="7" max="7" width="22" bestFit="1" customWidth="1"/>
    <col min="8" max="9" width="9.5703125" bestFit="1" customWidth="1"/>
    <col min="10" max="10" width="17.85546875" bestFit="1" customWidth="1"/>
    <col min="11" max="12" width="15.140625" bestFit="1" customWidth="1"/>
  </cols>
  <sheetData>
    <row r="1" spans="1:12" x14ac:dyDescent="0.25">
      <c r="A1" s="9" t="s">
        <v>75</v>
      </c>
      <c r="B1" s="9"/>
      <c r="D1" s="10" t="s">
        <v>76</v>
      </c>
      <c r="E1" s="10"/>
    </row>
    <row r="2" spans="1:12" ht="15.75" x14ac:dyDescent="0.25">
      <c r="A2" s="1" t="s">
        <v>73</v>
      </c>
      <c r="B2" s="1" t="s">
        <v>74</v>
      </c>
      <c r="D2" s="2" t="s">
        <v>73</v>
      </c>
      <c r="E2" s="2" t="s">
        <v>74</v>
      </c>
      <c r="G2" s="3" t="s">
        <v>95</v>
      </c>
      <c r="H2" s="3" t="s">
        <v>75</v>
      </c>
      <c r="I2" s="3" t="s">
        <v>76</v>
      </c>
      <c r="J2" s="3" t="s">
        <v>95</v>
      </c>
      <c r="K2" s="3" t="s">
        <v>96</v>
      </c>
      <c r="L2" s="3" t="s">
        <v>123</v>
      </c>
    </row>
    <row r="3" spans="1:12" x14ac:dyDescent="0.25">
      <c r="A3">
        <v>213677</v>
      </c>
      <c r="B3" t="s">
        <v>79</v>
      </c>
      <c r="D3">
        <v>4224</v>
      </c>
      <c r="E3" t="s">
        <v>79</v>
      </c>
      <c r="G3" t="s">
        <v>122</v>
      </c>
      <c r="H3" s="8">
        <v>54.813710802823834</v>
      </c>
      <c r="I3" s="8">
        <v>1.083565916926613</v>
      </c>
      <c r="J3" t="s">
        <v>122</v>
      </c>
      <c r="K3" s="8">
        <f>I3/H3</f>
        <v>1.9768154738226389E-2</v>
      </c>
      <c r="L3" s="8">
        <f>H3/I3</f>
        <v>50.586410984848484</v>
      </c>
    </row>
    <row r="4" spans="1:12" x14ac:dyDescent="0.25">
      <c r="A4">
        <v>11179</v>
      </c>
      <c r="B4" t="s">
        <v>9</v>
      </c>
      <c r="D4">
        <v>19525</v>
      </c>
      <c r="E4" t="s">
        <v>9</v>
      </c>
      <c r="G4" t="s">
        <v>97</v>
      </c>
      <c r="H4" s="8">
        <v>2.8677043999343295</v>
      </c>
      <c r="I4" s="8">
        <v>5.0086705795435886</v>
      </c>
      <c r="J4" t="s">
        <v>97</v>
      </c>
      <c r="K4" s="8">
        <f t="shared" ref="K4:K27" si="0">I4/H4</f>
        <v>1.7465784059397083</v>
      </c>
      <c r="L4" s="8">
        <f t="shared" ref="L4:L28" si="1">H4/I4</f>
        <v>0.57254801536491684</v>
      </c>
    </row>
    <row r="5" spans="1:12" x14ac:dyDescent="0.25">
      <c r="A5">
        <v>6951</v>
      </c>
      <c r="B5" t="s">
        <v>10</v>
      </c>
      <c r="D5">
        <v>323</v>
      </c>
      <c r="E5" t="s">
        <v>10</v>
      </c>
      <c r="G5" t="s">
        <v>98</v>
      </c>
      <c r="H5" s="8">
        <v>1.7831123789197176</v>
      </c>
      <c r="I5" s="8">
        <v>8.2857905105893942E-2</v>
      </c>
      <c r="J5" t="s">
        <v>98</v>
      </c>
      <c r="K5" s="8">
        <f t="shared" si="0"/>
        <v>4.646813408142713E-2</v>
      </c>
      <c r="L5" s="8">
        <f t="shared" si="1"/>
        <v>21.520123839009287</v>
      </c>
    </row>
    <row r="6" spans="1:12" x14ac:dyDescent="0.25">
      <c r="A6">
        <v>18031</v>
      </c>
      <c r="B6" t="s">
        <v>11</v>
      </c>
      <c r="D6">
        <v>643</v>
      </c>
      <c r="E6" t="s">
        <v>11</v>
      </c>
      <c r="G6" t="s">
        <v>99</v>
      </c>
      <c r="H6" s="8">
        <v>4.6254207026760792</v>
      </c>
      <c r="I6" s="8">
        <v>0.16494623214578888</v>
      </c>
      <c r="J6" t="s">
        <v>99</v>
      </c>
      <c r="K6" s="8">
        <f t="shared" si="0"/>
        <v>3.5660806388996734E-2</v>
      </c>
      <c r="L6" s="8">
        <f t="shared" si="1"/>
        <v>28.041990668740276</v>
      </c>
    </row>
    <row r="7" spans="1:12" x14ac:dyDescent="0.25">
      <c r="A7">
        <v>6025</v>
      </c>
      <c r="B7" t="s">
        <v>12</v>
      </c>
      <c r="D7">
        <v>6149</v>
      </c>
      <c r="E7" t="s">
        <v>12</v>
      </c>
      <c r="G7" t="s">
        <v>100</v>
      </c>
      <c r="H7" s="8">
        <v>1.5455692825480216</v>
      </c>
      <c r="I7" s="8">
        <v>1.5773785092759809</v>
      </c>
      <c r="J7" t="s">
        <v>100</v>
      </c>
      <c r="K7" s="8">
        <f t="shared" si="0"/>
        <v>1.0205809128630705</v>
      </c>
      <c r="L7" s="8">
        <f t="shared" si="1"/>
        <v>0.97983411936900311</v>
      </c>
    </row>
    <row r="8" spans="1:12" x14ac:dyDescent="0.25">
      <c r="A8">
        <v>11631</v>
      </c>
      <c r="B8" t="s">
        <v>13</v>
      </c>
      <c r="D8">
        <v>9900</v>
      </c>
      <c r="E8" t="s">
        <v>13</v>
      </c>
      <c r="G8" t="s">
        <v>101</v>
      </c>
      <c r="H8" s="8">
        <v>2.9836541618781807</v>
      </c>
      <c r="I8" s="8">
        <v>2.539607617796749</v>
      </c>
      <c r="J8" t="s">
        <v>101</v>
      </c>
      <c r="K8" s="8">
        <f t="shared" si="0"/>
        <v>0.85117358782563834</v>
      </c>
      <c r="L8" s="8">
        <f t="shared" si="1"/>
        <v>1.1748484848484848</v>
      </c>
    </row>
    <row r="9" spans="1:12" x14ac:dyDescent="0.25">
      <c r="A9">
        <v>5507</v>
      </c>
      <c r="B9" t="s">
        <v>14</v>
      </c>
      <c r="D9">
        <v>6796</v>
      </c>
      <c r="E9" t="s">
        <v>14</v>
      </c>
      <c r="G9" t="s">
        <v>102</v>
      </c>
      <c r="H9" s="8">
        <v>1.4126888031521918</v>
      </c>
      <c r="I9" s="8">
        <v>1.7433508455097686</v>
      </c>
      <c r="J9" t="s">
        <v>102</v>
      </c>
      <c r="K9" s="8">
        <f t="shared" si="0"/>
        <v>1.2340657345197021</v>
      </c>
      <c r="L9" s="8">
        <f t="shared" si="1"/>
        <v>0.81032960565038259</v>
      </c>
    </row>
    <row r="10" spans="1:12" x14ac:dyDescent="0.25">
      <c r="A10">
        <v>7176</v>
      </c>
      <c r="B10" t="s">
        <v>15</v>
      </c>
      <c r="D10">
        <v>7000</v>
      </c>
      <c r="E10" t="s">
        <v>15</v>
      </c>
      <c r="G10" t="s">
        <v>103</v>
      </c>
      <c r="H10" s="8">
        <v>1.8408307338696437</v>
      </c>
      <c r="I10" s="8">
        <v>1.7956821539977015</v>
      </c>
      <c r="J10" t="s">
        <v>103</v>
      </c>
      <c r="K10" s="8">
        <f t="shared" si="0"/>
        <v>0.97547380156075814</v>
      </c>
      <c r="L10" s="8">
        <f t="shared" si="1"/>
        <v>1.0251428571428571</v>
      </c>
    </row>
    <row r="11" spans="1:12" x14ac:dyDescent="0.25">
      <c r="A11">
        <v>5884</v>
      </c>
      <c r="B11" t="s">
        <v>16</v>
      </c>
      <c r="D11">
        <v>9932</v>
      </c>
      <c r="E11" t="s">
        <v>16</v>
      </c>
      <c r="G11" t="s">
        <v>104</v>
      </c>
      <c r="H11" s="8">
        <v>1.509399113446068</v>
      </c>
      <c r="I11" s="8">
        <v>2.5478164505007386</v>
      </c>
      <c r="J11" t="s">
        <v>104</v>
      </c>
      <c r="K11" s="8">
        <f t="shared" si="0"/>
        <v>1.6879673691366415</v>
      </c>
      <c r="L11" s="8">
        <f t="shared" si="1"/>
        <v>0.59242851389448259</v>
      </c>
    </row>
    <row r="12" spans="1:12" x14ac:dyDescent="0.25">
      <c r="A12">
        <v>5237</v>
      </c>
      <c r="B12" t="s">
        <v>17</v>
      </c>
      <c r="D12">
        <v>168</v>
      </c>
      <c r="E12" t="s">
        <v>17</v>
      </c>
      <c r="G12" t="s">
        <v>105</v>
      </c>
      <c r="H12" s="8">
        <v>1.3434267772122805</v>
      </c>
      <c r="I12" s="8">
        <v>4.3096371695944838E-2</v>
      </c>
      <c r="J12" t="s">
        <v>105</v>
      </c>
      <c r="K12" s="8">
        <f t="shared" si="0"/>
        <v>3.2079434790910827E-2</v>
      </c>
      <c r="L12" s="8">
        <f t="shared" si="1"/>
        <v>31.172619047619051</v>
      </c>
    </row>
    <row r="13" spans="1:12" x14ac:dyDescent="0.25">
      <c r="A13">
        <v>3975</v>
      </c>
      <c r="B13" t="s">
        <v>18</v>
      </c>
      <c r="D13">
        <v>4637</v>
      </c>
      <c r="E13" t="s">
        <v>18</v>
      </c>
      <c r="G13" t="s">
        <v>106</v>
      </c>
      <c r="H13" s="8">
        <v>1.0196909374486947</v>
      </c>
      <c r="I13" s="8">
        <v>1.1895111640124774</v>
      </c>
      <c r="J13" t="s">
        <v>106</v>
      </c>
      <c r="K13" s="8">
        <f t="shared" si="0"/>
        <v>1.1665408805031448</v>
      </c>
      <c r="L13" s="8">
        <f t="shared" si="1"/>
        <v>0.85723528143196026</v>
      </c>
    </row>
    <row r="14" spans="1:12" x14ac:dyDescent="0.25">
      <c r="A14">
        <v>3986</v>
      </c>
      <c r="B14" t="s">
        <v>19</v>
      </c>
      <c r="D14">
        <v>1259</v>
      </c>
      <c r="E14" t="s">
        <v>19</v>
      </c>
      <c r="G14" t="s">
        <v>107</v>
      </c>
      <c r="H14" s="8">
        <v>1.0225127236906912</v>
      </c>
      <c r="I14" s="8">
        <v>0.32296626169758663</v>
      </c>
      <c r="J14" t="s">
        <v>107</v>
      </c>
      <c r="K14" s="8">
        <f t="shared" si="0"/>
        <v>0.3158554942298043</v>
      </c>
      <c r="L14" s="8">
        <f t="shared" si="1"/>
        <v>3.1660047656870529</v>
      </c>
    </row>
    <row r="15" spans="1:12" x14ac:dyDescent="0.25">
      <c r="A15">
        <v>6351</v>
      </c>
      <c r="B15" t="s">
        <v>20</v>
      </c>
      <c r="D15">
        <v>100</v>
      </c>
      <c r="E15" t="s">
        <v>20</v>
      </c>
      <c r="G15" t="s">
        <v>108</v>
      </c>
      <c r="H15" s="8">
        <v>1.6291967657199147</v>
      </c>
      <c r="I15" s="8">
        <v>2.5652602199967164E-2</v>
      </c>
      <c r="J15" t="s">
        <v>108</v>
      </c>
      <c r="K15" s="8">
        <f t="shared" si="0"/>
        <v>1.5745551881593448E-2</v>
      </c>
      <c r="L15" s="8">
        <f t="shared" si="1"/>
        <v>63.510000000000005</v>
      </c>
    </row>
    <row r="16" spans="1:12" x14ac:dyDescent="0.25">
      <c r="A16">
        <v>9969</v>
      </c>
      <c r="B16" t="s">
        <v>21</v>
      </c>
      <c r="D16">
        <v>571</v>
      </c>
      <c r="E16" t="s">
        <v>21</v>
      </c>
      <c r="G16" t="s">
        <v>109</v>
      </c>
      <c r="H16" s="8">
        <v>2.5573079133147267</v>
      </c>
      <c r="I16" s="8">
        <v>0.14647635856181251</v>
      </c>
      <c r="J16" t="s">
        <v>109</v>
      </c>
      <c r="K16" s="8">
        <f t="shared" si="0"/>
        <v>5.7277560437355803E-2</v>
      </c>
      <c r="L16" s="8">
        <f t="shared" si="1"/>
        <v>17.458844133099824</v>
      </c>
    </row>
    <row r="17" spans="1:12" x14ac:dyDescent="0.25">
      <c r="A17">
        <v>7128</v>
      </c>
      <c r="B17" t="s">
        <v>22</v>
      </c>
      <c r="D17">
        <v>172</v>
      </c>
      <c r="E17" t="s">
        <v>22</v>
      </c>
      <c r="G17" t="s">
        <v>110</v>
      </c>
      <c r="H17" s="8">
        <v>1.8285174848136594</v>
      </c>
      <c r="I17" s="8">
        <v>4.4122475783943522E-2</v>
      </c>
      <c r="J17" t="s">
        <v>110</v>
      </c>
      <c r="K17" s="8">
        <f t="shared" si="0"/>
        <v>2.4130190796857465E-2</v>
      </c>
      <c r="L17" s="8">
        <f t="shared" si="1"/>
        <v>41.441860465116278</v>
      </c>
    </row>
    <row r="18" spans="1:12" x14ac:dyDescent="0.25">
      <c r="A18">
        <v>7155</v>
      </c>
      <c r="B18" t="s">
        <v>0</v>
      </c>
      <c r="D18">
        <v>973</v>
      </c>
      <c r="E18" t="s">
        <v>0</v>
      </c>
      <c r="G18" t="s">
        <v>111</v>
      </c>
      <c r="H18" s="8">
        <v>1.8354436874076507</v>
      </c>
      <c r="I18" s="8">
        <v>0.24959981940568052</v>
      </c>
      <c r="J18" t="s">
        <v>111</v>
      </c>
      <c r="K18" s="8">
        <f t="shared" si="0"/>
        <v>0.13598881900768692</v>
      </c>
      <c r="L18" s="8">
        <f t="shared" si="1"/>
        <v>7.353545734840699</v>
      </c>
    </row>
    <row r="19" spans="1:12" x14ac:dyDescent="0.25">
      <c r="A19">
        <v>2998</v>
      </c>
      <c r="B19" t="s">
        <v>1</v>
      </c>
      <c r="D19">
        <v>6311</v>
      </c>
      <c r="E19" t="s">
        <v>1</v>
      </c>
      <c r="G19" t="s">
        <v>112</v>
      </c>
      <c r="H19" s="8">
        <v>0.76906501395501559</v>
      </c>
      <c r="I19" s="8">
        <v>1.6189357248399279</v>
      </c>
      <c r="J19" t="s">
        <v>112</v>
      </c>
      <c r="K19" s="8">
        <f t="shared" si="0"/>
        <v>2.1050700466977985</v>
      </c>
      <c r="L19" s="8">
        <f t="shared" si="1"/>
        <v>0.47504357471082231</v>
      </c>
    </row>
    <row r="20" spans="1:12" x14ac:dyDescent="0.25">
      <c r="A20">
        <v>4925</v>
      </c>
      <c r="B20" t="s">
        <v>2</v>
      </c>
      <c r="D20">
        <v>643</v>
      </c>
      <c r="E20" t="s">
        <v>2</v>
      </c>
      <c r="G20" t="s">
        <v>113</v>
      </c>
      <c r="H20" s="8">
        <v>1.2633906583483829</v>
      </c>
      <c r="I20" s="8">
        <v>0.16494623214578888</v>
      </c>
      <c r="J20" t="s">
        <v>113</v>
      </c>
      <c r="K20" s="8">
        <f t="shared" si="0"/>
        <v>0.13055837563451778</v>
      </c>
      <c r="L20" s="8">
        <f t="shared" si="1"/>
        <v>7.659409020217729</v>
      </c>
    </row>
    <row r="21" spans="1:12" x14ac:dyDescent="0.25">
      <c r="A21">
        <v>9546</v>
      </c>
      <c r="B21" t="s">
        <v>3</v>
      </c>
      <c r="D21">
        <v>971</v>
      </c>
      <c r="E21" t="s">
        <v>3</v>
      </c>
      <c r="G21" t="s">
        <v>114</v>
      </c>
      <c r="H21" s="8">
        <v>2.4487974060088655</v>
      </c>
      <c r="I21" s="8">
        <v>0.24908676736168114</v>
      </c>
      <c r="J21" t="s">
        <v>114</v>
      </c>
      <c r="K21" s="8">
        <f t="shared" si="0"/>
        <v>0.10171799706683426</v>
      </c>
      <c r="L21" s="8">
        <f t="shared" si="1"/>
        <v>9.8311019567456235</v>
      </c>
    </row>
    <row r="22" spans="1:12" x14ac:dyDescent="0.25">
      <c r="A22">
        <v>11406</v>
      </c>
      <c r="B22" t="s">
        <v>4</v>
      </c>
      <c r="D22">
        <v>7690</v>
      </c>
      <c r="E22" t="s">
        <v>4</v>
      </c>
      <c r="G22" t="s">
        <v>115</v>
      </c>
      <c r="H22" s="8">
        <v>2.9259358069282548</v>
      </c>
      <c r="I22" s="8">
        <v>1.9726851091774751</v>
      </c>
      <c r="J22" t="s">
        <v>115</v>
      </c>
      <c r="K22" s="8">
        <f t="shared" si="0"/>
        <v>0.67420655795195517</v>
      </c>
      <c r="L22" s="8">
        <f t="shared" si="1"/>
        <v>1.4832249674902469</v>
      </c>
    </row>
    <row r="23" spans="1:12" x14ac:dyDescent="0.25">
      <c r="A23">
        <v>21</v>
      </c>
      <c r="B23" t="s">
        <v>5</v>
      </c>
      <c r="D23">
        <v>20</v>
      </c>
      <c r="E23" t="s">
        <v>5</v>
      </c>
      <c r="G23" t="s">
        <v>116</v>
      </c>
      <c r="H23" s="8">
        <v>5.3870464619931047E-3</v>
      </c>
      <c r="I23" s="8">
        <v>5.1305204399934327E-3</v>
      </c>
      <c r="J23" t="s">
        <v>116</v>
      </c>
      <c r="K23" s="8">
        <f t="shared" si="0"/>
        <v>0.95238095238095233</v>
      </c>
      <c r="L23" s="8">
        <f t="shared" si="1"/>
        <v>1.05</v>
      </c>
    </row>
    <row r="24" spans="1:12" x14ac:dyDescent="0.25">
      <c r="A24">
        <v>3935</v>
      </c>
      <c r="B24" t="s">
        <v>6</v>
      </c>
      <c r="D24">
        <v>7147</v>
      </c>
      <c r="E24" t="s">
        <v>6</v>
      </c>
      <c r="G24" t="s">
        <v>117</v>
      </c>
      <c r="H24" s="8">
        <v>1.0094298965687079</v>
      </c>
      <c r="I24" s="8">
        <v>1.8333914792316532</v>
      </c>
      <c r="J24" t="s">
        <v>117</v>
      </c>
      <c r="K24" s="8">
        <f t="shared" si="0"/>
        <v>1.8162642947903431</v>
      </c>
      <c r="L24" s="8">
        <f t="shared" si="1"/>
        <v>0.55058066321533505</v>
      </c>
    </row>
    <row r="25" spans="1:12" x14ac:dyDescent="0.25">
      <c r="A25">
        <v>4079</v>
      </c>
      <c r="B25" t="s">
        <v>7</v>
      </c>
      <c r="D25">
        <v>198</v>
      </c>
      <c r="E25" t="s">
        <v>7</v>
      </c>
      <c r="G25" t="s">
        <v>118</v>
      </c>
      <c r="H25" s="8">
        <v>1.0463696437366605</v>
      </c>
      <c r="I25" s="8">
        <v>5.079215235593499E-2</v>
      </c>
      <c r="J25" t="s">
        <v>118</v>
      </c>
      <c r="K25" s="8">
        <f t="shared" si="0"/>
        <v>4.8541309144398144E-2</v>
      </c>
      <c r="L25" s="8">
        <f t="shared" si="1"/>
        <v>20.601010101010097</v>
      </c>
    </row>
    <row r="26" spans="1:12" x14ac:dyDescent="0.25">
      <c r="A26">
        <v>507</v>
      </c>
      <c r="B26" t="s">
        <v>8</v>
      </c>
      <c r="D26">
        <v>439</v>
      </c>
      <c r="E26" t="s">
        <v>8</v>
      </c>
      <c r="G26" t="s">
        <v>119</v>
      </c>
      <c r="H26" s="8">
        <v>0.13005869315383353</v>
      </c>
      <c r="I26" s="8">
        <v>0.11261492365785584</v>
      </c>
      <c r="J26" t="s">
        <v>119</v>
      </c>
      <c r="K26" s="8">
        <f t="shared" si="0"/>
        <v>0.86587771203155806</v>
      </c>
      <c r="L26" s="8">
        <f t="shared" si="1"/>
        <v>1.1548974943052392</v>
      </c>
    </row>
    <row r="27" spans="1:12" x14ac:dyDescent="0.25">
      <c r="A27">
        <v>17609</v>
      </c>
      <c r="B27" t="s">
        <v>23</v>
      </c>
      <c r="D27">
        <v>11998</v>
      </c>
      <c r="E27" t="s">
        <v>23</v>
      </c>
      <c r="G27" t="s">
        <v>120</v>
      </c>
      <c r="H27" s="8">
        <v>4.5171667213922175</v>
      </c>
      <c r="I27" s="8">
        <v>3.0777992119520605</v>
      </c>
      <c r="J27" t="s">
        <v>120</v>
      </c>
      <c r="K27" s="8">
        <f t="shared" si="0"/>
        <v>0.68135612470895579</v>
      </c>
      <c r="L27" s="8">
        <f t="shared" si="1"/>
        <v>1.4676612768794797</v>
      </c>
    </row>
    <row r="28" spans="1:12" x14ac:dyDescent="0.25">
      <c r="A28">
        <v>4936</v>
      </c>
      <c r="B28" t="s">
        <v>24</v>
      </c>
      <c r="D28">
        <v>79785</v>
      </c>
      <c r="E28" t="s">
        <v>24</v>
      </c>
      <c r="G28" t="s">
        <v>121</v>
      </c>
      <c r="H28" s="8">
        <v>1.2662124445903791</v>
      </c>
      <c r="I28" s="8">
        <v>20.466928665243802</v>
      </c>
      <c r="J28" t="s">
        <v>121</v>
      </c>
      <c r="K28" s="8">
        <f>I28/H28</f>
        <v>16.163897893030796</v>
      </c>
      <c r="L28" s="8">
        <f t="shared" si="1"/>
        <v>6.1866265588769807E-2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B5FA-27F5-4643-997B-571CCB2D462D}">
  <dimension ref="A1:L52"/>
  <sheetViews>
    <sheetView topLeftCell="M37" zoomScale="85" zoomScaleNormal="85" workbookViewId="0">
      <selection activeCell="K68" sqref="K68"/>
    </sheetView>
  </sheetViews>
  <sheetFormatPr defaultRowHeight="15" x14ac:dyDescent="0.25"/>
  <cols>
    <col min="2" max="2" width="26.140625" bestFit="1" customWidth="1"/>
    <col min="5" max="5" width="26.140625" bestFit="1" customWidth="1"/>
    <col min="7" max="7" width="32.140625" bestFit="1" customWidth="1"/>
    <col min="8" max="8" width="6.85546875" bestFit="1" customWidth="1"/>
    <col min="9" max="9" width="7.28515625" bestFit="1" customWidth="1"/>
    <col min="10" max="10" width="32.140625" bestFit="1" customWidth="1"/>
    <col min="11" max="11" width="15.140625" bestFit="1" customWidth="1"/>
    <col min="12" max="12" width="15.42578125" bestFit="1" customWidth="1"/>
  </cols>
  <sheetData>
    <row r="1" spans="1:12" x14ac:dyDescent="0.25">
      <c r="A1" s="9" t="s">
        <v>75</v>
      </c>
      <c r="B1" s="9"/>
      <c r="D1" s="10" t="s">
        <v>76</v>
      </c>
      <c r="E1" s="10"/>
    </row>
    <row r="2" spans="1:12" ht="15.75" x14ac:dyDescent="0.25">
      <c r="A2" s="1" t="s">
        <v>73</v>
      </c>
      <c r="B2" s="1" t="s">
        <v>74</v>
      </c>
      <c r="D2" s="2" t="s">
        <v>73</v>
      </c>
      <c r="E2" s="2" t="s">
        <v>74</v>
      </c>
      <c r="G2" s="3" t="s">
        <v>95</v>
      </c>
      <c r="H2" s="3" t="s">
        <v>75</v>
      </c>
      <c r="I2" s="3" t="s">
        <v>76</v>
      </c>
      <c r="J2" s="3" t="s">
        <v>95</v>
      </c>
      <c r="K2" s="3" t="s">
        <v>96</v>
      </c>
      <c r="L2" s="3" t="s">
        <v>123</v>
      </c>
    </row>
    <row r="3" spans="1:12" x14ac:dyDescent="0.25">
      <c r="A3">
        <v>1249</v>
      </c>
      <c r="B3" t="s">
        <v>36</v>
      </c>
      <c r="D3">
        <v>1101</v>
      </c>
      <c r="E3" t="s">
        <v>36</v>
      </c>
      <c r="G3" t="s">
        <v>36</v>
      </c>
      <c r="H3" s="8">
        <v>8.885252898911574</v>
      </c>
      <c r="I3" s="8">
        <v>7.8323966706978734</v>
      </c>
      <c r="J3" t="s">
        <v>36</v>
      </c>
      <c r="K3" s="8">
        <f>I3/H3</f>
        <v>0.88150520416333078</v>
      </c>
      <c r="L3" s="8">
        <f>H3/I3</f>
        <v>1.1344232515894641</v>
      </c>
    </row>
    <row r="4" spans="1:12" x14ac:dyDescent="0.25">
      <c r="A4">
        <v>291</v>
      </c>
      <c r="B4" t="s">
        <v>37</v>
      </c>
      <c r="D4">
        <v>6</v>
      </c>
      <c r="E4" t="s">
        <v>37</v>
      </c>
      <c r="G4" t="s">
        <v>37</v>
      </c>
      <c r="H4" s="8">
        <v>2.070142989258021</v>
      </c>
      <c r="I4" s="8">
        <v>4.2683360603258162E-2</v>
      </c>
      <c r="J4" t="s">
        <v>37</v>
      </c>
      <c r="K4" s="8">
        <f t="shared" ref="K4:K50" si="0">I4/H4</f>
        <v>2.0618556701030927E-2</v>
      </c>
      <c r="L4" s="8">
        <f t="shared" ref="L4:L50" si="1">H4/I4</f>
        <v>48.5</v>
      </c>
    </row>
    <row r="5" spans="1:12" x14ac:dyDescent="0.25">
      <c r="A5">
        <v>1630</v>
      </c>
      <c r="B5" t="s">
        <v>38</v>
      </c>
      <c r="D5">
        <v>30</v>
      </c>
      <c r="E5" t="s">
        <v>38</v>
      </c>
      <c r="G5" t="s">
        <v>38</v>
      </c>
      <c r="H5" s="8">
        <v>11.595646297218467</v>
      </c>
      <c r="I5" s="8">
        <v>0.21341680301629082</v>
      </c>
      <c r="J5" t="s">
        <v>38</v>
      </c>
      <c r="K5" s="8">
        <f t="shared" si="0"/>
        <v>1.8404907975460124E-2</v>
      </c>
      <c r="L5" s="8">
        <f t="shared" si="1"/>
        <v>54.333333333333329</v>
      </c>
    </row>
    <row r="6" spans="1:12" x14ac:dyDescent="0.25">
      <c r="A6">
        <v>193</v>
      </c>
      <c r="B6" t="s">
        <v>39</v>
      </c>
      <c r="D6">
        <v>270</v>
      </c>
      <c r="E6" t="s">
        <v>39</v>
      </c>
      <c r="G6" t="s">
        <v>39</v>
      </c>
      <c r="H6" s="8">
        <v>1.3729814327381376</v>
      </c>
      <c r="I6" s="8">
        <v>1.9207512271466172</v>
      </c>
      <c r="J6" t="s">
        <v>39</v>
      </c>
      <c r="K6" s="8">
        <f t="shared" si="0"/>
        <v>1.398963730569948</v>
      </c>
      <c r="L6" s="8">
        <f t="shared" si="1"/>
        <v>0.7148148148148149</v>
      </c>
    </row>
    <row r="7" spans="1:12" x14ac:dyDescent="0.25">
      <c r="A7">
        <v>339</v>
      </c>
      <c r="B7" t="s">
        <v>40</v>
      </c>
      <c r="D7">
        <v>834</v>
      </c>
      <c r="E7" t="s">
        <v>40</v>
      </c>
      <c r="G7" t="s">
        <v>40</v>
      </c>
      <c r="H7" s="8">
        <v>2.4116098740840863</v>
      </c>
      <c r="I7" s="8">
        <v>5.9329871238528851</v>
      </c>
      <c r="J7" t="s">
        <v>40</v>
      </c>
      <c r="K7" s="8">
        <f t="shared" si="0"/>
        <v>2.4601769911504423</v>
      </c>
      <c r="L7" s="8">
        <f t="shared" si="1"/>
        <v>0.40647482014388486</v>
      </c>
    </row>
    <row r="8" spans="1:12" x14ac:dyDescent="0.25">
      <c r="A8">
        <v>275</v>
      </c>
      <c r="B8" t="s">
        <v>41</v>
      </c>
      <c r="D8">
        <v>382</v>
      </c>
      <c r="E8" t="s">
        <v>41</v>
      </c>
      <c r="G8" t="s">
        <v>41</v>
      </c>
      <c r="H8" s="8">
        <v>1.956320694315999</v>
      </c>
      <c r="I8" s="8">
        <v>2.7175072917407697</v>
      </c>
      <c r="J8" t="s">
        <v>41</v>
      </c>
      <c r="K8" s="8">
        <f t="shared" si="0"/>
        <v>1.3890909090909092</v>
      </c>
      <c r="L8" s="8">
        <f t="shared" si="1"/>
        <v>0.71989528795811508</v>
      </c>
    </row>
    <row r="9" spans="1:12" x14ac:dyDescent="0.25">
      <c r="A9">
        <v>241</v>
      </c>
      <c r="B9" t="s">
        <v>42</v>
      </c>
      <c r="D9">
        <v>381</v>
      </c>
      <c r="E9" t="s">
        <v>42</v>
      </c>
      <c r="G9" t="s">
        <v>42</v>
      </c>
      <c r="H9" s="8">
        <v>1.7144483175642027</v>
      </c>
      <c r="I9" s="8">
        <v>2.7103933983068931</v>
      </c>
      <c r="J9" t="s">
        <v>42</v>
      </c>
      <c r="K9" s="8">
        <f t="shared" si="0"/>
        <v>1.5809128630705394</v>
      </c>
      <c r="L9" s="8">
        <f t="shared" si="1"/>
        <v>0.63254593175853013</v>
      </c>
    </row>
    <row r="10" spans="1:12" x14ac:dyDescent="0.25">
      <c r="A10">
        <v>244</v>
      </c>
      <c r="B10" t="s">
        <v>43</v>
      </c>
      <c r="D10">
        <v>194</v>
      </c>
      <c r="E10" t="s">
        <v>43</v>
      </c>
      <c r="G10" t="s">
        <v>43</v>
      </c>
      <c r="H10" s="8">
        <v>1.735789997865832</v>
      </c>
      <c r="I10" s="8">
        <v>1.3800953261720139</v>
      </c>
      <c r="J10" t="s">
        <v>43</v>
      </c>
      <c r="K10" s="8">
        <f t="shared" si="0"/>
        <v>0.79508196721311475</v>
      </c>
      <c r="L10" s="8">
        <f t="shared" si="1"/>
        <v>1.2577319587628866</v>
      </c>
    </row>
    <row r="11" spans="1:12" x14ac:dyDescent="0.25">
      <c r="A11">
        <v>842</v>
      </c>
      <c r="B11" t="s">
        <v>44</v>
      </c>
      <c r="D11">
        <v>6</v>
      </c>
      <c r="E11" t="s">
        <v>44</v>
      </c>
      <c r="G11" t="s">
        <v>44</v>
      </c>
      <c r="H11" s="8">
        <v>5.989898271323896</v>
      </c>
      <c r="I11" s="8">
        <v>4.2683360603258162E-2</v>
      </c>
      <c r="J11" t="s">
        <v>44</v>
      </c>
      <c r="K11" s="8">
        <f t="shared" si="0"/>
        <v>7.1258907363420422E-3</v>
      </c>
      <c r="L11" s="8">
        <f t="shared" si="1"/>
        <v>140.33333333333334</v>
      </c>
    </row>
    <row r="12" spans="1:12" x14ac:dyDescent="0.25">
      <c r="A12">
        <v>190</v>
      </c>
      <c r="B12" t="s">
        <v>45</v>
      </c>
      <c r="D12">
        <v>182</v>
      </c>
      <c r="E12" t="s">
        <v>45</v>
      </c>
      <c r="G12" t="s">
        <v>45</v>
      </c>
      <c r="H12" s="8">
        <v>1.3516397524365085</v>
      </c>
      <c r="I12" s="8">
        <v>1.2947286049654978</v>
      </c>
      <c r="J12" t="s">
        <v>45</v>
      </c>
      <c r="K12" s="8">
        <f t="shared" si="0"/>
        <v>0.95789473684210547</v>
      </c>
      <c r="L12" s="8">
        <f t="shared" si="1"/>
        <v>1.0439560439560438</v>
      </c>
    </row>
    <row r="13" spans="1:12" x14ac:dyDescent="0.25">
      <c r="A13">
        <v>92</v>
      </c>
      <c r="B13" t="s">
        <v>46</v>
      </c>
      <c r="D13">
        <v>33</v>
      </c>
      <c r="E13" t="s">
        <v>46</v>
      </c>
      <c r="G13" t="s">
        <v>46</v>
      </c>
      <c r="H13" s="8">
        <v>0.65447819591662515</v>
      </c>
      <c r="I13" s="8">
        <v>0.2347584833179199</v>
      </c>
      <c r="J13" t="s">
        <v>46</v>
      </c>
      <c r="K13" s="8">
        <f t="shared" si="0"/>
        <v>0.35869565217391308</v>
      </c>
      <c r="L13" s="8">
        <f t="shared" si="1"/>
        <v>2.7878787878787876</v>
      </c>
    </row>
    <row r="14" spans="1:12" x14ac:dyDescent="0.25">
      <c r="A14">
        <v>597</v>
      </c>
      <c r="B14" t="s">
        <v>47</v>
      </c>
      <c r="D14">
        <v>4</v>
      </c>
      <c r="E14" t="s">
        <v>47</v>
      </c>
      <c r="G14" t="s">
        <v>47</v>
      </c>
      <c r="H14" s="8">
        <v>4.2469943800241872</v>
      </c>
      <c r="I14" s="8">
        <v>2.8455573735505443E-2</v>
      </c>
      <c r="J14" t="s">
        <v>47</v>
      </c>
      <c r="K14" s="8">
        <f t="shared" si="0"/>
        <v>6.7001675041876048E-3</v>
      </c>
      <c r="L14" s="8">
        <f t="shared" si="1"/>
        <v>149.25</v>
      </c>
    </row>
    <row r="15" spans="1:12" x14ac:dyDescent="0.25">
      <c r="A15">
        <v>240</v>
      </c>
      <c r="B15" t="s">
        <v>48</v>
      </c>
      <c r="D15">
        <v>18</v>
      </c>
      <c r="E15" t="s">
        <v>48</v>
      </c>
      <c r="G15" t="s">
        <v>48</v>
      </c>
      <c r="H15" s="8">
        <v>1.7073344241303265</v>
      </c>
      <c r="I15" s="8">
        <v>0.12805008180977448</v>
      </c>
      <c r="J15" t="s">
        <v>48</v>
      </c>
      <c r="K15" s="8">
        <f t="shared" si="0"/>
        <v>7.4999999999999997E-2</v>
      </c>
      <c r="L15" s="8">
        <f t="shared" si="1"/>
        <v>13.333333333333334</v>
      </c>
    </row>
    <row r="16" spans="1:12" x14ac:dyDescent="0.25">
      <c r="A16">
        <v>681</v>
      </c>
      <c r="B16" t="s">
        <v>49</v>
      </c>
      <c r="D16">
        <v>9</v>
      </c>
      <c r="E16" t="s">
        <v>49</v>
      </c>
      <c r="G16" t="s">
        <v>49</v>
      </c>
      <c r="H16" s="8">
        <v>4.8445614284698015</v>
      </c>
      <c r="I16" s="8">
        <v>6.402504090488724E-2</v>
      </c>
      <c r="J16" t="s">
        <v>49</v>
      </c>
      <c r="K16" s="8">
        <f t="shared" si="0"/>
        <v>1.3215859030837003E-2</v>
      </c>
      <c r="L16" s="8">
        <f t="shared" si="1"/>
        <v>75.666666666666671</v>
      </c>
    </row>
    <row r="17" spans="1:12" x14ac:dyDescent="0.25">
      <c r="A17">
        <v>155</v>
      </c>
      <c r="B17" t="s">
        <v>27</v>
      </c>
      <c r="D17">
        <v>36</v>
      </c>
      <c r="E17" t="s">
        <v>27</v>
      </c>
      <c r="G17" t="s">
        <v>27</v>
      </c>
      <c r="H17" s="8">
        <v>1.102653482250836</v>
      </c>
      <c r="I17" s="8">
        <v>0.25610016361954896</v>
      </c>
      <c r="J17" t="s">
        <v>27</v>
      </c>
      <c r="K17" s="8">
        <f t="shared" si="0"/>
        <v>0.23225806451612899</v>
      </c>
      <c r="L17" s="8">
        <f t="shared" si="1"/>
        <v>4.3055555555555562</v>
      </c>
    </row>
    <row r="18" spans="1:12" x14ac:dyDescent="0.25">
      <c r="A18">
        <v>177</v>
      </c>
      <c r="B18" t="s">
        <v>28</v>
      </c>
      <c r="D18">
        <v>128</v>
      </c>
      <c r="E18" t="s">
        <v>28</v>
      </c>
      <c r="G18" t="s">
        <v>28</v>
      </c>
      <c r="H18" s="8">
        <v>1.2591591377961158</v>
      </c>
      <c r="I18" s="8">
        <v>0.91057835953617416</v>
      </c>
      <c r="J18" t="s">
        <v>28</v>
      </c>
      <c r="K18" s="8">
        <f t="shared" si="0"/>
        <v>0.7231638418079096</v>
      </c>
      <c r="L18" s="8">
        <f t="shared" si="1"/>
        <v>1.3828125</v>
      </c>
    </row>
    <row r="19" spans="1:12" x14ac:dyDescent="0.25">
      <c r="A19">
        <v>595</v>
      </c>
      <c r="B19" t="s">
        <v>29</v>
      </c>
      <c r="D19">
        <v>47</v>
      </c>
      <c r="E19" t="s">
        <v>29</v>
      </c>
      <c r="G19" t="s">
        <v>29</v>
      </c>
      <c r="H19" s="8">
        <v>4.2327665931564349</v>
      </c>
      <c r="I19" s="8">
        <v>0.33435299139218894</v>
      </c>
      <c r="J19" t="s">
        <v>29</v>
      </c>
      <c r="K19" s="8">
        <f t="shared" si="0"/>
        <v>7.8991596638655459E-2</v>
      </c>
      <c r="L19" s="8">
        <f t="shared" si="1"/>
        <v>12.659574468085108</v>
      </c>
    </row>
    <row r="20" spans="1:12" x14ac:dyDescent="0.25">
      <c r="A20">
        <v>3461</v>
      </c>
      <c r="B20" t="s">
        <v>30</v>
      </c>
      <c r="D20">
        <v>142</v>
      </c>
      <c r="E20" t="s">
        <v>30</v>
      </c>
      <c r="G20" t="s">
        <v>30</v>
      </c>
      <c r="H20" s="8">
        <v>24.621185174646083</v>
      </c>
      <c r="I20" s="8">
        <v>1.0101728676104431</v>
      </c>
      <c r="J20" t="s">
        <v>30</v>
      </c>
      <c r="K20" s="8">
        <f t="shared" si="0"/>
        <v>4.1028604449581042E-2</v>
      </c>
      <c r="L20" s="8">
        <f t="shared" si="1"/>
        <v>24.37323943661972</v>
      </c>
    </row>
    <row r="21" spans="1:12" x14ac:dyDescent="0.25">
      <c r="A21">
        <v>664</v>
      </c>
      <c r="B21" t="s">
        <v>31</v>
      </c>
      <c r="D21">
        <v>467</v>
      </c>
      <c r="E21" t="s">
        <v>31</v>
      </c>
      <c r="G21" t="s">
        <v>31</v>
      </c>
      <c r="H21" s="8">
        <v>4.7236252400939032</v>
      </c>
      <c r="I21" s="8">
        <v>3.3221882336202602</v>
      </c>
      <c r="J21" t="s">
        <v>31</v>
      </c>
      <c r="K21" s="8">
        <f t="shared" si="0"/>
        <v>0.70331325301204817</v>
      </c>
      <c r="L21" s="8">
        <f t="shared" si="1"/>
        <v>1.4218415417558887</v>
      </c>
    </row>
    <row r="22" spans="1:12" x14ac:dyDescent="0.25">
      <c r="A22">
        <v>2</v>
      </c>
      <c r="B22" t="s">
        <v>32</v>
      </c>
      <c r="D22">
        <v>4</v>
      </c>
      <c r="E22" t="s">
        <v>32</v>
      </c>
      <c r="G22" t="s">
        <v>32</v>
      </c>
      <c r="H22" s="8">
        <v>1.4227786867752721E-2</v>
      </c>
      <c r="I22" s="8">
        <v>2.8455573735505443E-2</v>
      </c>
      <c r="J22" t="s">
        <v>32</v>
      </c>
      <c r="K22" s="8">
        <f t="shared" si="0"/>
        <v>2</v>
      </c>
      <c r="L22" s="8">
        <f t="shared" si="1"/>
        <v>0.5</v>
      </c>
    </row>
    <row r="23" spans="1:12" x14ac:dyDescent="0.25">
      <c r="A23">
        <v>229</v>
      </c>
      <c r="B23" t="s">
        <v>33</v>
      </c>
      <c r="D23">
        <v>667</v>
      </c>
      <c r="E23" t="s">
        <v>33</v>
      </c>
      <c r="G23" t="s">
        <v>33</v>
      </c>
      <c r="H23" s="8">
        <v>1.6290815963576863</v>
      </c>
      <c r="I23" s="8">
        <v>4.744966920395532</v>
      </c>
      <c r="J23" t="s">
        <v>33</v>
      </c>
      <c r="K23" s="8">
        <f t="shared" si="0"/>
        <v>2.9126637554585155</v>
      </c>
      <c r="L23" s="8">
        <f t="shared" si="1"/>
        <v>0.34332833583208394</v>
      </c>
    </row>
    <row r="24" spans="1:12" x14ac:dyDescent="0.25">
      <c r="A24">
        <v>210</v>
      </c>
      <c r="B24" t="s">
        <v>34</v>
      </c>
      <c r="D24">
        <v>6</v>
      </c>
      <c r="E24" t="s">
        <v>34</v>
      </c>
      <c r="G24" t="s">
        <v>34</v>
      </c>
      <c r="H24" s="8">
        <v>1.4939176211140357</v>
      </c>
      <c r="I24" s="8">
        <v>4.2683360603258162E-2</v>
      </c>
      <c r="J24" t="s">
        <v>34</v>
      </c>
      <c r="K24" s="8">
        <f t="shared" si="0"/>
        <v>2.8571428571428571E-2</v>
      </c>
      <c r="L24" s="8">
        <f t="shared" si="1"/>
        <v>35</v>
      </c>
    </row>
    <row r="25" spans="1:12" x14ac:dyDescent="0.25">
      <c r="A25">
        <v>1</v>
      </c>
      <c r="B25" t="s">
        <v>35</v>
      </c>
      <c r="D25">
        <v>6</v>
      </c>
      <c r="E25" t="s">
        <v>35</v>
      </c>
      <c r="G25" t="s">
        <v>35</v>
      </c>
      <c r="H25" s="8">
        <v>7.1138934338763607E-3</v>
      </c>
      <c r="I25" s="8">
        <v>4.2683360603258162E-2</v>
      </c>
      <c r="J25" t="s">
        <v>35</v>
      </c>
      <c r="K25" s="8">
        <f t="shared" si="0"/>
        <v>6</v>
      </c>
      <c r="L25" s="8">
        <f t="shared" si="1"/>
        <v>0.16666666666666669</v>
      </c>
    </row>
    <row r="26" spans="1:12" x14ac:dyDescent="0.25">
      <c r="A26">
        <v>1459</v>
      </c>
      <c r="B26" t="s">
        <v>50</v>
      </c>
      <c r="D26">
        <v>268</v>
      </c>
      <c r="E26" t="s">
        <v>50</v>
      </c>
      <c r="G26" t="s">
        <v>50</v>
      </c>
      <c r="H26" s="8">
        <v>10.37917052002561</v>
      </c>
      <c r="I26" s="8">
        <v>1.9065234402788647</v>
      </c>
      <c r="J26" t="s">
        <v>50</v>
      </c>
      <c r="K26" s="8">
        <f t="shared" si="0"/>
        <v>0.18368745716244003</v>
      </c>
      <c r="L26" s="8">
        <f t="shared" si="1"/>
        <v>5.4440298507462686</v>
      </c>
    </row>
    <row r="27" spans="1:12" x14ac:dyDescent="0.25">
      <c r="A27">
        <v>52</v>
      </c>
      <c r="B27" t="s">
        <v>58</v>
      </c>
      <c r="D27">
        <v>279</v>
      </c>
      <c r="E27" t="s">
        <v>58</v>
      </c>
      <c r="G27" t="s">
        <v>58</v>
      </c>
      <c r="H27" s="8">
        <v>11.353711790393014</v>
      </c>
      <c r="I27" s="8">
        <v>60.917030567685593</v>
      </c>
      <c r="J27" t="s">
        <v>58</v>
      </c>
      <c r="K27" s="8">
        <f t="shared" si="0"/>
        <v>5.365384615384615</v>
      </c>
      <c r="L27" s="8">
        <f t="shared" si="1"/>
        <v>0.1863799283154122</v>
      </c>
    </row>
    <row r="28" spans="1:12" x14ac:dyDescent="0.25">
      <c r="A28">
        <v>5</v>
      </c>
      <c r="B28" t="s">
        <v>59</v>
      </c>
      <c r="D28">
        <v>13</v>
      </c>
      <c r="E28" t="s">
        <v>59</v>
      </c>
      <c r="G28" t="s">
        <v>59</v>
      </c>
      <c r="H28" s="8">
        <v>1.0917030567685588</v>
      </c>
      <c r="I28" s="8">
        <v>2.8384279475982535</v>
      </c>
      <c r="J28" t="s">
        <v>59</v>
      </c>
      <c r="K28" s="8">
        <f t="shared" si="0"/>
        <v>2.6000000000000005</v>
      </c>
      <c r="L28" s="8">
        <f t="shared" si="1"/>
        <v>0.38461538461538453</v>
      </c>
    </row>
    <row r="29" spans="1:12" x14ac:dyDescent="0.25">
      <c r="A29">
        <v>12</v>
      </c>
      <c r="B29" t="s">
        <v>60</v>
      </c>
      <c r="D29">
        <v>34</v>
      </c>
      <c r="E29" t="s">
        <v>60</v>
      </c>
      <c r="G29" t="s">
        <v>60</v>
      </c>
      <c r="H29" s="8">
        <v>2.6200873362445414</v>
      </c>
      <c r="I29" s="8">
        <v>7.4235807860262017</v>
      </c>
      <c r="J29" t="s">
        <v>60</v>
      </c>
      <c r="K29" s="8">
        <f t="shared" si="0"/>
        <v>2.8333333333333339</v>
      </c>
      <c r="L29" s="8">
        <f t="shared" si="1"/>
        <v>0.3529411764705882</v>
      </c>
    </row>
    <row r="30" spans="1:12" x14ac:dyDescent="0.25">
      <c r="A30">
        <v>14</v>
      </c>
      <c r="B30" t="s">
        <v>61</v>
      </c>
      <c r="D30">
        <v>134</v>
      </c>
      <c r="E30" t="s">
        <v>61</v>
      </c>
      <c r="G30" t="s">
        <v>61</v>
      </c>
      <c r="H30" s="8">
        <v>3.0567685589519651</v>
      </c>
      <c r="I30" s="8">
        <v>29.257641921397383</v>
      </c>
      <c r="J30" t="s">
        <v>61</v>
      </c>
      <c r="K30" s="8">
        <f t="shared" si="0"/>
        <v>9.571428571428573</v>
      </c>
      <c r="L30" s="8">
        <f t="shared" si="1"/>
        <v>0.1044776119402985</v>
      </c>
    </row>
    <row r="31" spans="1:12" x14ac:dyDescent="0.25">
      <c r="A31">
        <v>28</v>
      </c>
      <c r="B31" t="s">
        <v>62</v>
      </c>
      <c r="D31">
        <v>534</v>
      </c>
      <c r="E31" t="s">
        <v>62</v>
      </c>
      <c r="G31" t="s">
        <v>62</v>
      </c>
      <c r="H31" s="8">
        <v>6.1135371179039302</v>
      </c>
      <c r="I31" s="8">
        <v>116.5938864628821</v>
      </c>
      <c r="J31" t="s">
        <v>62</v>
      </c>
      <c r="K31" s="8">
        <f t="shared" si="0"/>
        <v>19.071428571428573</v>
      </c>
      <c r="L31" s="8">
        <f t="shared" si="1"/>
        <v>5.2434456928838954E-2</v>
      </c>
    </row>
    <row r="32" spans="1:12" x14ac:dyDescent="0.25">
      <c r="A32">
        <v>5</v>
      </c>
      <c r="B32" t="s">
        <v>63</v>
      </c>
      <c r="D32">
        <v>371</v>
      </c>
      <c r="E32" t="s">
        <v>63</v>
      </c>
      <c r="G32" t="s">
        <v>63</v>
      </c>
      <c r="H32" s="8">
        <v>1.0917030567685588</v>
      </c>
      <c r="I32" s="8">
        <v>81.004366812227062</v>
      </c>
      <c r="J32" t="s">
        <v>63</v>
      </c>
      <c r="K32" s="8">
        <f t="shared" si="0"/>
        <v>74.2</v>
      </c>
      <c r="L32" s="8">
        <f t="shared" si="1"/>
        <v>1.3477088948787063E-2</v>
      </c>
    </row>
    <row r="33" spans="1:12" x14ac:dyDescent="0.25">
      <c r="A33">
        <v>27</v>
      </c>
      <c r="B33" t="s">
        <v>64</v>
      </c>
      <c r="D33">
        <v>203</v>
      </c>
      <c r="E33" t="s">
        <v>64</v>
      </c>
      <c r="G33" t="s">
        <v>64</v>
      </c>
      <c r="H33" s="8">
        <v>5.8951965065502181</v>
      </c>
      <c r="I33" s="8">
        <v>44.32314410480349</v>
      </c>
      <c r="J33" t="s">
        <v>64</v>
      </c>
      <c r="K33" s="8">
        <f t="shared" si="0"/>
        <v>7.5185185185185182</v>
      </c>
      <c r="L33" s="8">
        <f t="shared" si="1"/>
        <v>0.13300492610837439</v>
      </c>
    </row>
    <row r="34" spans="1:12" x14ac:dyDescent="0.25">
      <c r="A34">
        <v>5</v>
      </c>
      <c r="B34" t="s">
        <v>65</v>
      </c>
      <c r="D34">
        <v>48</v>
      </c>
      <c r="E34" t="s">
        <v>65</v>
      </c>
      <c r="G34" t="s">
        <v>65</v>
      </c>
      <c r="H34" s="8">
        <v>1.0917030567685588</v>
      </c>
      <c r="I34" s="8">
        <v>10.480349344978166</v>
      </c>
      <c r="J34" t="s">
        <v>65</v>
      </c>
      <c r="K34" s="8">
        <f t="shared" si="0"/>
        <v>9.6000000000000014</v>
      </c>
      <c r="L34" s="8">
        <f t="shared" si="1"/>
        <v>0.10416666666666666</v>
      </c>
    </row>
    <row r="35" spans="1:12" x14ac:dyDescent="0.25">
      <c r="A35">
        <v>2</v>
      </c>
      <c r="B35" t="s">
        <v>66</v>
      </c>
      <c r="D35">
        <v>4</v>
      </c>
      <c r="E35" t="s">
        <v>66</v>
      </c>
      <c r="G35" t="s">
        <v>66</v>
      </c>
      <c r="H35" s="8">
        <v>0.43668122270742354</v>
      </c>
      <c r="I35" s="8">
        <v>0.87336244541484709</v>
      </c>
      <c r="J35" t="s">
        <v>66</v>
      </c>
      <c r="K35" s="8">
        <f t="shared" si="0"/>
        <v>2</v>
      </c>
      <c r="L35" s="8">
        <f t="shared" si="1"/>
        <v>0.5</v>
      </c>
    </row>
    <row r="36" spans="1:12" x14ac:dyDescent="0.25">
      <c r="A36">
        <v>5</v>
      </c>
      <c r="B36" t="s">
        <v>67</v>
      </c>
      <c r="D36">
        <v>137</v>
      </c>
      <c r="E36" t="s">
        <v>67</v>
      </c>
      <c r="G36" t="s">
        <v>67</v>
      </c>
      <c r="H36" s="8">
        <v>1.0917030567685588</v>
      </c>
      <c r="I36" s="8">
        <v>29.912663755458514</v>
      </c>
      <c r="J36" t="s">
        <v>67</v>
      </c>
      <c r="K36" s="8">
        <f t="shared" si="0"/>
        <v>27.400000000000002</v>
      </c>
      <c r="L36" s="8">
        <f t="shared" si="1"/>
        <v>3.6496350364963501E-2</v>
      </c>
    </row>
    <row r="37" spans="1:12" x14ac:dyDescent="0.25">
      <c r="A37">
        <v>20</v>
      </c>
      <c r="B37" t="s">
        <v>68</v>
      </c>
      <c r="D37">
        <v>112</v>
      </c>
      <c r="E37" t="s">
        <v>68</v>
      </c>
      <c r="G37" t="s">
        <v>68</v>
      </c>
      <c r="H37" s="8">
        <v>4.3668122270742353</v>
      </c>
      <c r="I37" s="8">
        <v>24.454148471615721</v>
      </c>
      <c r="J37" t="s">
        <v>68</v>
      </c>
      <c r="K37" s="8">
        <f t="shared" si="0"/>
        <v>5.6000000000000005</v>
      </c>
      <c r="L37" s="8">
        <f t="shared" si="1"/>
        <v>0.17857142857142855</v>
      </c>
    </row>
    <row r="38" spans="1:12" x14ac:dyDescent="0.25">
      <c r="A38">
        <v>6</v>
      </c>
      <c r="B38" t="s">
        <v>69</v>
      </c>
      <c r="D38">
        <v>0</v>
      </c>
      <c r="E38" t="s">
        <v>69</v>
      </c>
      <c r="G38" t="s">
        <v>69</v>
      </c>
      <c r="H38" s="8">
        <v>1.3100436681222707</v>
      </c>
      <c r="I38" s="8">
        <v>0</v>
      </c>
      <c r="J38" t="s">
        <v>69</v>
      </c>
      <c r="K38" s="8">
        <f t="shared" si="0"/>
        <v>0</v>
      </c>
      <c r="L38" s="8" t="e">
        <f t="shared" si="1"/>
        <v>#DIV/0!</v>
      </c>
    </row>
    <row r="39" spans="1:12" x14ac:dyDescent="0.25">
      <c r="A39">
        <v>74</v>
      </c>
      <c r="B39" t="s">
        <v>70</v>
      </c>
      <c r="D39">
        <v>17</v>
      </c>
      <c r="E39" t="s">
        <v>70</v>
      </c>
      <c r="G39" t="s">
        <v>70</v>
      </c>
      <c r="H39" s="8">
        <v>16.157205240174672</v>
      </c>
      <c r="I39" s="8">
        <v>3.7117903930131009</v>
      </c>
      <c r="J39" t="s">
        <v>70</v>
      </c>
      <c r="K39" s="8">
        <f t="shared" si="0"/>
        <v>0.22972972972972977</v>
      </c>
      <c r="L39" s="8">
        <f t="shared" si="1"/>
        <v>4.3529411764705879</v>
      </c>
    </row>
    <row r="40" spans="1:12" x14ac:dyDescent="0.25">
      <c r="A40">
        <v>6</v>
      </c>
      <c r="B40" t="s">
        <v>71</v>
      </c>
      <c r="D40">
        <v>14</v>
      </c>
      <c r="E40" t="s">
        <v>71</v>
      </c>
      <c r="G40" t="s">
        <v>71</v>
      </c>
      <c r="H40" s="8">
        <v>1.3100436681222707</v>
      </c>
      <c r="I40" s="8">
        <v>3.0567685589519651</v>
      </c>
      <c r="J40" t="s">
        <v>71</v>
      </c>
      <c r="K40" s="8">
        <f t="shared" si="0"/>
        <v>2.3333333333333335</v>
      </c>
      <c r="L40" s="8">
        <f t="shared" si="1"/>
        <v>0.42857142857142855</v>
      </c>
    </row>
    <row r="41" spans="1:12" x14ac:dyDescent="0.25">
      <c r="A41">
        <v>9</v>
      </c>
      <c r="B41" t="s">
        <v>51</v>
      </c>
      <c r="D41">
        <v>10</v>
      </c>
      <c r="E41" t="s">
        <v>51</v>
      </c>
      <c r="G41" t="s">
        <v>51</v>
      </c>
      <c r="H41" s="8">
        <v>1.9650655021834063</v>
      </c>
      <c r="I41" s="8">
        <v>2.1834061135371177</v>
      </c>
      <c r="J41" t="s">
        <v>51</v>
      </c>
      <c r="K41" s="8">
        <f t="shared" si="0"/>
        <v>1.1111111111111109</v>
      </c>
      <c r="L41" s="8">
        <f t="shared" si="1"/>
        <v>0.90000000000000013</v>
      </c>
    </row>
    <row r="42" spans="1:12" x14ac:dyDescent="0.25">
      <c r="A42">
        <v>1</v>
      </c>
      <c r="B42" t="s">
        <v>52</v>
      </c>
      <c r="D42">
        <v>61</v>
      </c>
      <c r="E42" t="s">
        <v>52</v>
      </c>
      <c r="G42" t="s">
        <v>52</v>
      </c>
      <c r="H42" s="8">
        <v>0.21834061135371177</v>
      </c>
      <c r="I42" s="8">
        <v>13.318777292576419</v>
      </c>
      <c r="J42" t="s">
        <v>52</v>
      </c>
      <c r="K42" s="8">
        <f t="shared" si="0"/>
        <v>61.000000000000007</v>
      </c>
      <c r="L42" s="8">
        <f t="shared" si="1"/>
        <v>1.6393442622950817E-2</v>
      </c>
    </row>
    <row r="43" spans="1:12" x14ac:dyDescent="0.25">
      <c r="A43">
        <v>5</v>
      </c>
      <c r="B43" t="s">
        <v>53</v>
      </c>
      <c r="D43">
        <v>17</v>
      </c>
      <c r="E43" t="s">
        <v>53</v>
      </c>
      <c r="G43" t="s">
        <v>53</v>
      </c>
      <c r="H43" s="8">
        <v>1.0917030567685588</v>
      </c>
      <c r="I43" s="8">
        <v>3.7117903930131009</v>
      </c>
      <c r="J43" t="s">
        <v>53</v>
      </c>
      <c r="K43" s="8">
        <f t="shared" si="0"/>
        <v>3.4000000000000008</v>
      </c>
      <c r="L43" s="8">
        <f t="shared" si="1"/>
        <v>0.29411764705882348</v>
      </c>
    </row>
    <row r="44" spans="1:12" x14ac:dyDescent="0.25">
      <c r="A44">
        <v>38</v>
      </c>
      <c r="B44" t="s">
        <v>54</v>
      </c>
      <c r="D44">
        <v>32</v>
      </c>
      <c r="E44" t="s">
        <v>54</v>
      </c>
      <c r="G44" t="s">
        <v>54</v>
      </c>
      <c r="H44" s="8">
        <v>8.2969432314410483</v>
      </c>
      <c r="I44" s="8">
        <v>6.9868995633187767</v>
      </c>
      <c r="J44" t="s">
        <v>54</v>
      </c>
      <c r="K44" s="8">
        <f t="shared" si="0"/>
        <v>0.84210526315789469</v>
      </c>
      <c r="L44" s="8">
        <f t="shared" si="1"/>
        <v>1.1875000000000002</v>
      </c>
    </row>
    <row r="45" spans="1:12" x14ac:dyDescent="0.25">
      <c r="A45">
        <v>16</v>
      </c>
      <c r="B45" t="s">
        <v>55</v>
      </c>
      <c r="D45">
        <v>463</v>
      </c>
      <c r="E45" t="s">
        <v>55</v>
      </c>
      <c r="G45" t="s">
        <v>55</v>
      </c>
      <c r="H45" s="8">
        <v>3.4934497816593884</v>
      </c>
      <c r="I45" s="8">
        <v>101.09170305676855</v>
      </c>
      <c r="J45" t="s">
        <v>55</v>
      </c>
      <c r="K45" s="8">
        <f t="shared" si="0"/>
        <v>28.9375</v>
      </c>
      <c r="L45" s="8">
        <f t="shared" si="1"/>
        <v>3.4557235421166309E-2</v>
      </c>
    </row>
    <row r="46" spans="1:12" x14ac:dyDescent="0.25">
      <c r="A46">
        <v>2</v>
      </c>
      <c r="B46" t="s">
        <v>56</v>
      </c>
      <c r="D46">
        <v>0</v>
      </c>
      <c r="E46" t="s">
        <v>56</v>
      </c>
      <c r="G46" t="s">
        <v>56</v>
      </c>
      <c r="H46" s="8">
        <v>0.43668122270742354</v>
      </c>
      <c r="I46" s="8">
        <v>0</v>
      </c>
      <c r="J46" t="s">
        <v>56</v>
      </c>
      <c r="K46" s="8">
        <f t="shared" si="0"/>
        <v>0</v>
      </c>
      <c r="L46" s="8" t="e">
        <f t="shared" si="1"/>
        <v>#DIV/0!</v>
      </c>
    </row>
    <row r="47" spans="1:12" x14ac:dyDescent="0.25">
      <c r="A47">
        <v>100</v>
      </c>
      <c r="B47" t="s">
        <v>57</v>
      </c>
      <c r="D47">
        <v>295</v>
      </c>
      <c r="E47" t="s">
        <v>57</v>
      </c>
      <c r="G47" t="s">
        <v>57</v>
      </c>
      <c r="H47" s="8">
        <v>21.834061135371179</v>
      </c>
      <c r="I47" s="8">
        <v>64.410480349344979</v>
      </c>
      <c r="J47" t="s">
        <v>57</v>
      </c>
      <c r="K47" s="8">
        <f t="shared" si="0"/>
        <v>2.95</v>
      </c>
      <c r="L47" s="8">
        <f t="shared" si="1"/>
        <v>0.33898305084745761</v>
      </c>
    </row>
    <row r="48" spans="1:12" x14ac:dyDescent="0.25">
      <c r="A48">
        <v>2</v>
      </c>
      <c r="B48" t="s">
        <v>77</v>
      </c>
      <c r="D48">
        <v>1</v>
      </c>
      <c r="E48" t="s">
        <v>77</v>
      </c>
      <c r="G48" t="s">
        <v>77</v>
      </c>
      <c r="H48" s="8">
        <v>0.43668122270742354</v>
      </c>
      <c r="I48" s="8">
        <v>0.21834061135371177</v>
      </c>
      <c r="J48" t="s">
        <v>77</v>
      </c>
      <c r="K48" s="8">
        <f t="shared" si="0"/>
        <v>0.5</v>
      </c>
      <c r="L48" s="8">
        <f t="shared" si="1"/>
        <v>2</v>
      </c>
    </row>
    <row r="49" spans="1:12" x14ac:dyDescent="0.25">
      <c r="A49">
        <v>3</v>
      </c>
      <c r="B49" t="s">
        <v>78</v>
      </c>
      <c r="D49">
        <v>2</v>
      </c>
      <c r="E49" t="s">
        <v>78</v>
      </c>
      <c r="G49" t="s">
        <v>78</v>
      </c>
      <c r="H49" s="8">
        <v>0.65502183406113534</v>
      </c>
      <c r="I49" s="8">
        <v>0.43668122270742354</v>
      </c>
      <c r="J49" t="s">
        <v>78</v>
      </c>
      <c r="K49" s="8">
        <f t="shared" si="0"/>
        <v>0.66666666666666663</v>
      </c>
      <c r="L49" s="8">
        <f t="shared" si="1"/>
        <v>1.5</v>
      </c>
    </row>
    <row r="50" spans="1:12" x14ac:dyDescent="0.25">
      <c r="A50">
        <v>21</v>
      </c>
      <c r="B50" t="s">
        <v>72</v>
      </c>
      <c r="D50">
        <v>52</v>
      </c>
      <c r="E50" t="s">
        <v>72</v>
      </c>
      <c r="G50" t="s">
        <v>72</v>
      </c>
      <c r="H50" s="8">
        <v>4.5851528384279483</v>
      </c>
      <c r="I50" s="8">
        <v>11.353711790393014</v>
      </c>
      <c r="J50" t="s">
        <v>72</v>
      </c>
      <c r="K50" s="8">
        <f t="shared" si="0"/>
        <v>2.4761904761904758</v>
      </c>
      <c r="L50" s="8">
        <f t="shared" si="1"/>
        <v>0.40384615384615385</v>
      </c>
    </row>
    <row r="51" spans="1:12" x14ac:dyDescent="0.25">
      <c r="A51">
        <v>1</v>
      </c>
      <c r="B51" t="s">
        <v>25</v>
      </c>
      <c r="D51">
        <v>4</v>
      </c>
      <c r="E51" t="s">
        <v>25</v>
      </c>
    </row>
    <row r="52" spans="1:12" x14ac:dyDescent="0.25">
      <c r="A52">
        <v>7</v>
      </c>
      <c r="B52" t="s">
        <v>26</v>
      </c>
      <c r="D52">
        <v>16</v>
      </c>
      <c r="E52" t="s">
        <v>26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CIS</vt:lpstr>
      <vt:lpstr>TRANS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Joseph</dc:creator>
  <cp:lastModifiedBy>Dunn, Mikael</cp:lastModifiedBy>
  <dcterms:created xsi:type="dcterms:W3CDTF">2025-12-01T20:16:39Z</dcterms:created>
  <dcterms:modified xsi:type="dcterms:W3CDTF">2026-03-19T20:30:16Z</dcterms:modified>
</cp:coreProperties>
</file>