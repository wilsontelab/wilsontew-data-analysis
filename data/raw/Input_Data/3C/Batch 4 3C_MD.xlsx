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:\My Documents\"/>
    </mc:Choice>
  </mc:AlternateContent>
  <xr:revisionPtr revIDLastSave="2" documentId="13_ncr:1_{99A53365-68ED-44DC-B71C-5DC61FCBEF50}" xr6:coauthVersionLast="47" xr6:coauthVersionMax="47" xr10:uidLastSave="{11DDA2F3-4DCE-4091-ADFC-B39D66F7A5F1}"/>
  <bookViews>
    <workbookView xWindow="-120" yWindow="-120" windowWidth="29040" windowHeight="15720" xr2:uid="{54950083-93D0-C440-B28F-BBBE4348E03F}"/>
  </bookViews>
  <sheets>
    <sheet name="Sheet1" sheetId="1" r:id="rId1"/>
    <sheet name="CIS" sheetId="2" r:id="rId2"/>
    <sheet name="TRA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K3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53" i="1"/>
  <c r="K54" i="1"/>
  <c r="N54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29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29" i="1"/>
  <c r="K27" i="1"/>
  <c r="K28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4" i="1"/>
  <c r="K5" i="1"/>
  <c r="K6" i="1"/>
  <c r="I11" i="1"/>
  <c r="H11" i="1"/>
  <c r="I10" i="1"/>
  <c r="H10" i="1"/>
  <c r="I9" i="1"/>
  <c r="H9" i="1"/>
  <c r="I8" i="1"/>
  <c r="H8" i="1"/>
  <c r="H7" i="1"/>
  <c r="I6" i="1"/>
  <c r="H6" i="1"/>
  <c r="I5" i="1"/>
  <c r="H5" i="1"/>
  <c r="I2" i="1"/>
  <c r="I3" i="1" s="1"/>
  <c r="I4" i="1"/>
  <c r="H3" i="1"/>
  <c r="H2" i="1"/>
  <c r="H4" i="1"/>
</calcChain>
</file>

<file path=xl/sharedStrings.xml><?xml version="1.0" encoding="utf-8"?>
<sst xmlns="http://schemas.openxmlformats.org/spreadsheetml/2006/main" count="488" uniqueCount="119">
  <si>
    <t>Time 0</t>
  </si>
  <si>
    <t>Time 120</t>
  </si>
  <si>
    <t>T0</t>
  </si>
  <si>
    <t>T120</t>
  </si>
  <si>
    <t>Count</t>
  </si>
  <si>
    <t>Strain</t>
  </si>
  <si>
    <t>Total Counts</t>
  </si>
  <si>
    <t>CIS</t>
  </si>
  <si>
    <t>Freq</t>
  </si>
  <si>
    <t>CIS_A_to_B_DSB1_Chr12_L01</t>
  </si>
  <si>
    <t>Percent "Kept" Reads</t>
  </si>
  <si>
    <t>Chr12_L01</t>
  </si>
  <si>
    <t>CIS_A_to_B_DSB1_Chr12_L05</t>
  </si>
  <si>
    <t>Cis Counts</t>
  </si>
  <si>
    <t>Chr12_L05</t>
  </si>
  <si>
    <t>CIS_A_to_B_DSB1_Chr12_L07</t>
  </si>
  <si>
    <t>Percent Cis</t>
  </si>
  <si>
    <t>Chr12_L07</t>
  </si>
  <si>
    <t>CIS_A_to_B_DSB1_Chr12_L12</t>
  </si>
  <si>
    <t>Total Trans Counts</t>
  </si>
  <si>
    <t>Chr12_L12</t>
  </si>
  <si>
    <t>CIS_A_to_B_DSB1_Chr15_L01</t>
  </si>
  <si>
    <t>Percent Trans</t>
  </si>
  <si>
    <t>Chr15_L01</t>
  </si>
  <si>
    <t>CIS_A_to_B_DSB1_Chr15_L15</t>
  </si>
  <si>
    <t>Trans A to D Counts</t>
  </si>
  <si>
    <t>Chr15_L15</t>
  </si>
  <si>
    <t>CIS_A_to_B_DSB1_Chr15_L17_2</t>
  </si>
  <si>
    <t>Percent A to D</t>
  </si>
  <si>
    <t>Chr15_L17_2</t>
  </si>
  <si>
    <t>CIS_A_to_B_DSB1_Chr15_L18</t>
  </si>
  <si>
    <t>Trans C to B Counts</t>
  </si>
  <si>
    <t>Chr15_L18</t>
  </si>
  <si>
    <t>CIS_A_to_B_DSB1_Chr3_L02</t>
  </si>
  <si>
    <t>Percent C to B</t>
  </si>
  <si>
    <t>Chr3_L02</t>
  </si>
  <si>
    <t>CIS_A_to_B_DSB1_Chr3_L04</t>
  </si>
  <si>
    <t>Chr3_L04</t>
  </si>
  <si>
    <t>CIS_A_to_B_DSB1_Chr4_L01</t>
  </si>
  <si>
    <t>Chr4_L01</t>
  </si>
  <si>
    <t>CIS_A_to_B_DSB1_Chr4_L03</t>
  </si>
  <si>
    <t>Chr4_L03</t>
  </si>
  <si>
    <t>CIS_A_to_B_DSB1_Chr4_L06_2</t>
  </si>
  <si>
    <t>Chr4_L06_2</t>
  </si>
  <si>
    <t>CIS_A_to_B_DSB1_Chr4_L10_2</t>
  </si>
  <si>
    <t>Chr4_L10_2</t>
  </si>
  <si>
    <t>CIS_A_to_B_DSB1_Chr4_L12_2</t>
  </si>
  <si>
    <t>Chr4_L12_2</t>
  </si>
  <si>
    <t>CIS_A_to_B_DSB1_Chr4_L13</t>
  </si>
  <si>
    <t>Chr4_L13</t>
  </si>
  <si>
    <t>CIS_A_to_B_DSB1_Chr4_L15_2</t>
  </si>
  <si>
    <t>Chr4_L15_2</t>
  </si>
  <si>
    <t>CIS_A_to_B_DSB1_Chr7_990K</t>
  </si>
  <si>
    <t>Chr7_990K</t>
  </si>
  <si>
    <t>CIS_A_to_B_DSB1_Chr7_L03</t>
  </si>
  <si>
    <t>Chr7_L03</t>
  </si>
  <si>
    <t>CIS_A_to_B_DSB1_Chr7_L06</t>
  </si>
  <si>
    <t>Chr7_L06</t>
  </si>
  <si>
    <t>CIS_A_to_B_DSB1_Chr7_L09</t>
  </si>
  <si>
    <t>Chr7_L09</t>
  </si>
  <si>
    <t>CIS_A_to_B_DSB1_UNCUTTABLE</t>
  </si>
  <si>
    <t>DSB1_UNCUTTABLE</t>
  </si>
  <si>
    <t>CIS_C_to_D_DSB2_Chr7</t>
  </si>
  <si>
    <t>DSB2_Chr7</t>
  </si>
  <si>
    <t>CIS_C_to_D_DSB2_UNCUTTABLE</t>
  </si>
  <si>
    <t>DSB2_UNCUTTABLE</t>
  </si>
  <si>
    <t>LIGATED_A_to_C</t>
  </si>
  <si>
    <t>LIGATED_B_to_D</t>
  </si>
  <si>
    <t>TRANS_A_to_D_Chr12_L01</t>
  </si>
  <si>
    <t>TRANS</t>
  </si>
  <si>
    <t>TRANS_A_to_D_Chr12_L05</t>
  </si>
  <si>
    <t>TRANS_A_to_D_Chr12_L07</t>
  </si>
  <si>
    <t>TRANS_A_to_D_Chr12_L12</t>
  </si>
  <si>
    <t>TRANS_A_to_D_Chr15_L01</t>
  </si>
  <si>
    <t>TRANS_A_to_D_Chr15_L04</t>
  </si>
  <si>
    <t>Chr15_L04</t>
  </si>
  <si>
    <t>TRANS_A_to_D_Chr15_L15</t>
  </si>
  <si>
    <t>TRANS_A_to_D_Chr15_L17_2</t>
  </si>
  <si>
    <t>TRANS_A_to_D_Chr15_L18</t>
  </si>
  <si>
    <t>TRANS_A_to_D_Chr3_L02</t>
  </si>
  <si>
    <t>TRANS_A_to_D_Chr3_L04</t>
  </si>
  <si>
    <t>TRANS_A_to_D_Chr4_L01</t>
  </si>
  <si>
    <t>TRANS_A_to_D_Chr4_L03</t>
  </si>
  <si>
    <t>TRANS_A_to_D_Chr4_L06_2</t>
  </si>
  <si>
    <t>TRANS_A_to_D_Chr4_L10_2</t>
  </si>
  <si>
    <t>TRANS_A_to_D_Chr4_L12_2</t>
  </si>
  <si>
    <t>TRANS_A_to_D_Chr4_L13</t>
  </si>
  <si>
    <t>TRANS_A_to_D_Chr4_L15_2</t>
  </si>
  <si>
    <t>TRANS_A_to_D_Chr7_990K</t>
  </si>
  <si>
    <t>TRANS_A_to_D_Chr7_L03</t>
  </si>
  <si>
    <t>TRANS_A_to_D_Chr7_L06</t>
  </si>
  <si>
    <t>TRANS_A_to_D_Chr7_L09</t>
  </si>
  <si>
    <t>TRANS_A_to_D_UNCUTTABLE</t>
  </si>
  <si>
    <t>TRANS_C_to_B_Chr12_L01</t>
  </si>
  <si>
    <t>TRANS_C_to_B_Chr12_L05</t>
  </si>
  <si>
    <t>TRANS_C_to_B_Chr12_L07</t>
  </si>
  <si>
    <t>TRANS_C_to_B_Chr12_L12</t>
  </si>
  <si>
    <t>TRANS_C_to_B_Chr15_L01</t>
  </si>
  <si>
    <t>TRANS_C_to_B_Chr15_L15</t>
  </si>
  <si>
    <t>TRANS_C_to_B_Chr3_L02</t>
  </si>
  <si>
    <t>TRANS_C_to_B_Chr3_L04</t>
  </si>
  <si>
    <t>TRANS_C_to_B_Chr3_L18</t>
  </si>
  <si>
    <t>Chr3_L18</t>
  </si>
  <si>
    <t>TRANS_C_to_B_Chr4_L01</t>
  </si>
  <si>
    <t>TRANS_C_to_B_Chr4_L03</t>
  </si>
  <si>
    <t>TRANS_C_to_B_Chr4_L06_2</t>
  </si>
  <si>
    <t>TRANS_C_to_B_Chr4_L10_2</t>
  </si>
  <si>
    <t>TRANS_C_to_B_Chr4_L12_2</t>
  </si>
  <si>
    <t>TRANS_C_to_B_Chr4_L13</t>
  </si>
  <si>
    <t>TRANS_C_to_B_Chr4_L15_2</t>
  </si>
  <si>
    <t>TRANS_C_to_B_Chr7_990K</t>
  </si>
  <si>
    <t>TRANS_C_to_B_Chr7_L03</t>
  </si>
  <si>
    <t>TRANS_C_to_B_Chr7_L06</t>
  </si>
  <si>
    <t>TRANS_C_to_B_Chr7_L09</t>
  </si>
  <si>
    <t>TRANS_C_to_B_Chr7_L17_2</t>
  </si>
  <si>
    <t>Chr7_L17_2</t>
  </si>
  <si>
    <t>TRANS_C_to_B_UNCUTTABLE</t>
  </si>
  <si>
    <t>Freq (T0)</t>
  </si>
  <si>
    <t>Freq (T120)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</si>
</sst>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6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3" fontId="4" fillId="0" borderId="0" xfId="0" applyNumberFormat="1" applyFont="1"/>
    <xf numFmtId="10" fontId="0" fillId="0" borderId="0" xfId="1" applyNumberFormat="1" applyFont="1"/>
    <xf numFmtId="164" fontId="0" fillId="0" borderId="0" xfId="1" applyNumberFormat="1" applyFont="1"/>
    <xf numFmtId="0" fontId="0" fillId="0" borderId="0" xfId="0" applyAlignment="1"/>
    <xf numFmtId="0" fontId="5" fillId="0" borderId="0" xfId="0" applyFon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CIS!$B$1:$B$2</c:f>
              <c:strCache>
                <c:ptCount val="2"/>
                <c:pt idx="0">
                  <c:v>T0</c:v>
                </c:pt>
                <c:pt idx="1">
                  <c:v>Freq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CIS!$A$3:$A$28</c:f>
              <c:strCache>
                <c:ptCount val="26"/>
                <c:pt idx="0">
                  <c:v>Chr12_L01</c:v>
                </c:pt>
                <c:pt idx="1">
                  <c:v>Chr12_L05</c:v>
                </c:pt>
                <c:pt idx="2">
                  <c:v>Chr12_L07</c:v>
                </c:pt>
                <c:pt idx="3">
                  <c:v>Chr12_L12</c:v>
                </c:pt>
                <c:pt idx="4">
                  <c:v>Chr15_L01</c:v>
                </c:pt>
                <c:pt idx="5">
                  <c:v>Chr15_L15</c:v>
                </c:pt>
                <c:pt idx="6">
                  <c:v>Chr15_L17_2</c:v>
                </c:pt>
                <c:pt idx="7">
                  <c:v>Chr15_L18</c:v>
                </c:pt>
                <c:pt idx="8">
                  <c:v>Chr3_L02</c:v>
                </c:pt>
                <c:pt idx="9">
                  <c:v>Chr3_L04</c:v>
                </c:pt>
                <c:pt idx="10">
                  <c:v>Chr4_L01</c:v>
                </c:pt>
                <c:pt idx="11">
                  <c:v>Chr4_L03</c:v>
                </c:pt>
                <c:pt idx="12">
                  <c:v>Chr4_L06_2</c:v>
                </c:pt>
                <c:pt idx="13">
                  <c:v>Chr4_L10_2</c:v>
                </c:pt>
                <c:pt idx="14">
                  <c:v>Chr4_L12_2</c:v>
                </c:pt>
                <c:pt idx="15">
                  <c:v>Chr4_L13</c:v>
                </c:pt>
                <c:pt idx="16">
                  <c:v>Chr4_L15_2</c:v>
                </c:pt>
                <c:pt idx="17">
                  <c:v>Chr7_990K</c:v>
                </c:pt>
                <c:pt idx="18">
                  <c:v>Chr7_L03</c:v>
                </c:pt>
                <c:pt idx="19">
                  <c:v>Chr7_L06</c:v>
                </c:pt>
                <c:pt idx="20">
                  <c:v>Chr7_L09</c:v>
                </c:pt>
                <c:pt idx="21">
                  <c:v>DSB1_UNCUTTABLE</c:v>
                </c:pt>
                <c:pt idx="22">
                  <c:v>DSB2_Chr7</c:v>
                </c:pt>
                <c:pt idx="23">
                  <c:v>DSB2_UNCUTTABLE</c:v>
                </c:pt>
                <c:pt idx="24">
                  <c:v>LIGATED_A_to_C</c:v>
                </c:pt>
                <c:pt idx="25">
                  <c:v>LIGATED_B_to_D</c:v>
                </c:pt>
              </c:strCache>
            </c:strRef>
          </c:cat>
          <c:val>
            <c:numRef>
              <c:f>CIS!$B$3:$B$28</c:f>
              <c:numCache>
                <c:formatCode>0.00</c:formatCode>
                <c:ptCount val="26"/>
                <c:pt idx="0">
                  <c:v>2.4409354345660077</c:v>
                </c:pt>
                <c:pt idx="1">
                  <c:v>1.5763418311189012</c:v>
                </c:pt>
                <c:pt idx="2">
                  <c:v>2.0309133684929863</c:v>
                </c:pt>
                <c:pt idx="3">
                  <c:v>2.3763543508766438</c:v>
                </c:pt>
                <c:pt idx="4">
                  <c:v>2.9047924589325862</c:v>
                </c:pt>
                <c:pt idx="5">
                  <c:v>1.510926096913358</c:v>
                </c:pt>
                <c:pt idx="6">
                  <c:v>2.9580014293390087</c:v>
                </c:pt>
                <c:pt idx="7">
                  <c:v>0.49171348534405857</c:v>
                </c:pt>
                <c:pt idx="8">
                  <c:v>2.7809511885945009</c:v>
                </c:pt>
                <c:pt idx="9">
                  <c:v>3.9968283280385193</c:v>
                </c:pt>
                <c:pt idx="10">
                  <c:v>1.6893326447466575</c:v>
                </c:pt>
                <c:pt idx="11">
                  <c:v>2.0251751461942544</c:v>
                </c:pt>
                <c:pt idx="12">
                  <c:v>1.9192788619540213</c:v>
                </c:pt>
                <c:pt idx="13">
                  <c:v>4.7176533800737621</c:v>
                </c:pt>
                <c:pt idx="14">
                  <c:v>2.3574703829480899</c:v>
                </c:pt>
                <c:pt idx="15">
                  <c:v>2.0564745405509735</c:v>
                </c:pt>
                <c:pt idx="16">
                  <c:v>2.2604422604422605</c:v>
                </c:pt>
                <c:pt idx="17">
                  <c:v>1.6063892497013517</c:v>
                </c:pt>
                <c:pt idx="18">
                  <c:v>2.5988930447529173</c:v>
                </c:pt>
                <c:pt idx="19">
                  <c:v>2.8599299936879556</c:v>
                </c:pt>
                <c:pt idx="20">
                  <c:v>2.0321653442672551</c:v>
                </c:pt>
                <c:pt idx="21">
                  <c:v>2.9410997563863805</c:v>
                </c:pt>
                <c:pt idx="22">
                  <c:v>46.943666306723628</c:v>
                </c:pt>
                <c:pt idx="23">
                  <c:v>0.92427111535391782</c:v>
                </c:pt>
                <c:pt idx="24">
                  <c:v>1.2624089057210078E-2</c:v>
                </c:pt>
                <c:pt idx="25">
                  <c:v>1.3771733516956448E-2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6-410C-9857-08CCBB2F3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4146368"/>
        <c:axId val="1764173248"/>
      </c:barChart>
      <c:catAx>
        <c:axId val="17641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173248"/>
        <c:crosses val="autoZero"/>
        <c:auto val="1"/>
        <c:lblAlgn val="ctr"/>
        <c:lblOffset val="100"/>
        <c:noMultiLvlLbl val="0"/>
      </c:catAx>
      <c:valAx>
        <c:axId val="176417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14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CIS!$E$1:$E$2</c:f>
              <c:strCache>
                <c:ptCount val="2"/>
                <c:pt idx="0">
                  <c:v>T120</c:v>
                </c:pt>
                <c:pt idx="1">
                  <c:v>Freq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CIS!$D$3:$D$28</c:f>
              <c:strCache>
                <c:ptCount val="26"/>
                <c:pt idx="0">
                  <c:v>Chr12_L01</c:v>
                </c:pt>
                <c:pt idx="1">
                  <c:v>Chr12_L05</c:v>
                </c:pt>
                <c:pt idx="2">
                  <c:v>Chr12_L07</c:v>
                </c:pt>
                <c:pt idx="3">
                  <c:v>Chr12_L12</c:v>
                </c:pt>
                <c:pt idx="4">
                  <c:v>Chr15_L01</c:v>
                </c:pt>
                <c:pt idx="5">
                  <c:v>Chr15_L15</c:v>
                </c:pt>
                <c:pt idx="6">
                  <c:v>Chr15_L17_2</c:v>
                </c:pt>
                <c:pt idx="7">
                  <c:v>Chr15_L18</c:v>
                </c:pt>
                <c:pt idx="8">
                  <c:v>Chr3_L02</c:v>
                </c:pt>
                <c:pt idx="9">
                  <c:v>Chr3_L04</c:v>
                </c:pt>
                <c:pt idx="10">
                  <c:v>Chr4_L01</c:v>
                </c:pt>
                <c:pt idx="11">
                  <c:v>Chr4_L03</c:v>
                </c:pt>
                <c:pt idx="12">
                  <c:v>Chr4_L06_2</c:v>
                </c:pt>
                <c:pt idx="13">
                  <c:v>Chr4_L10_2</c:v>
                </c:pt>
                <c:pt idx="14">
                  <c:v>Chr4_L12_2</c:v>
                </c:pt>
                <c:pt idx="15">
                  <c:v>Chr4_L13</c:v>
                </c:pt>
                <c:pt idx="16">
                  <c:v>Chr4_L15_2</c:v>
                </c:pt>
                <c:pt idx="17">
                  <c:v>Chr7_990K</c:v>
                </c:pt>
                <c:pt idx="18">
                  <c:v>Chr7_L03</c:v>
                </c:pt>
                <c:pt idx="19">
                  <c:v>Chr7_L06</c:v>
                </c:pt>
                <c:pt idx="20">
                  <c:v>Chr7_L09</c:v>
                </c:pt>
                <c:pt idx="21">
                  <c:v>DSB1_UNCUTTABLE</c:v>
                </c:pt>
                <c:pt idx="22">
                  <c:v>DSB2_Chr7</c:v>
                </c:pt>
                <c:pt idx="23">
                  <c:v>DSB2_UNCUTTABLE</c:v>
                </c:pt>
                <c:pt idx="24">
                  <c:v>LIGATED_A_to_C</c:v>
                </c:pt>
                <c:pt idx="25">
                  <c:v>LIGATED_B_to_D</c:v>
                </c:pt>
              </c:strCache>
            </c:strRef>
          </c:cat>
          <c:val>
            <c:numRef>
              <c:f>CIS!$E$3:$E$28</c:f>
              <c:numCache>
                <c:formatCode>0.00</c:formatCode>
                <c:ptCount val="26"/>
                <c:pt idx="0">
                  <c:v>1.1226705655880029</c:v>
                </c:pt>
                <c:pt idx="1">
                  <c:v>1.2307919135695067</c:v>
                </c:pt>
                <c:pt idx="2">
                  <c:v>1.6894356961362076</c:v>
                </c:pt>
                <c:pt idx="3">
                  <c:v>2.1550154156152117</c:v>
                </c:pt>
                <c:pt idx="4">
                  <c:v>2.0848237340627032</c:v>
                </c:pt>
                <c:pt idx="5">
                  <c:v>1.2028103623690147</c:v>
                </c:pt>
                <c:pt idx="6">
                  <c:v>2.1802225920507823</c:v>
                </c:pt>
                <c:pt idx="7">
                  <c:v>0.42868053510555104</c:v>
                </c:pt>
                <c:pt idx="8">
                  <c:v>3.3803378475053019</c:v>
                </c:pt>
                <c:pt idx="9">
                  <c:v>5.5811700806669275</c:v>
                </c:pt>
                <c:pt idx="10">
                  <c:v>1.4231353526289778</c:v>
                </c:pt>
                <c:pt idx="11">
                  <c:v>1.7802766527247729</c:v>
                </c:pt>
                <c:pt idx="12">
                  <c:v>1.5718022061035453</c:v>
                </c:pt>
                <c:pt idx="13">
                  <c:v>4.1771779139159069</c:v>
                </c:pt>
                <c:pt idx="14">
                  <c:v>2.5741838086696043</c:v>
                </c:pt>
                <c:pt idx="15">
                  <c:v>1.1252864046520716</c:v>
                </c:pt>
                <c:pt idx="16">
                  <c:v>1.9929919293438088</c:v>
                </c:pt>
                <c:pt idx="17">
                  <c:v>0.69371259300595978</c:v>
                </c:pt>
                <c:pt idx="18">
                  <c:v>1.7983497226219745</c:v>
                </c:pt>
                <c:pt idx="19">
                  <c:v>3.0530012591698039</c:v>
                </c:pt>
                <c:pt idx="20">
                  <c:v>1.5074763454825846</c:v>
                </c:pt>
                <c:pt idx="21">
                  <c:v>10.110059446924428</c:v>
                </c:pt>
                <c:pt idx="22">
                  <c:v>44.85002720868966</c:v>
                </c:pt>
                <c:pt idx="23">
                  <c:v>2.2865604133976936</c:v>
                </c:pt>
                <c:pt idx="24">
                  <c:v>7.0310583328147894E-2</c:v>
                </c:pt>
                <c:pt idx="25">
                  <c:v>3.0002881386362996E-2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06-410B-817E-2592BF569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398720"/>
        <c:axId val="134401120"/>
      </c:barChart>
      <c:catAx>
        <c:axId val="13439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01120"/>
        <c:crosses val="autoZero"/>
        <c:auto val="1"/>
        <c:lblAlgn val="ctr"/>
        <c:lblOffset val="100"/>
        <c:noMultiLvlLbl val="0"/>
      </c:catAx>
      <c:valAx>
        <c:axId val="13440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9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CIS Batch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CIS!$B$31</c:f>
              <c:strCache>
                <c:ptCount val="1"/>
                <c:pt idx="0">
                  <c:v>Freq (T0)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CIS!$A$32:$A$57</c:f>
              <c:strCache>
                <c:ptCount val="26"/>
                <c:pt idx="0">
                  <c:v>Chr12_L01</c:v>
                </c:pt>
                <c:pt idx="1">
                  <c:v>Chr12_L05</c:v>
                </c:pt>
                <c:pt idx="2">
                  <c:v>Chr12_L07</c:v>
                </c:pt>
                <c:pt idx="3">
                  <c:v>Chr12_L12</c:v>
                </c:pt>
                <c:pt idx="4">
                  <c:v>Chr15_L01</c:v>
                </c:pt>
                <c:pt idx="5">
                  <c:v>Chr15_L15</c:v>
                </c:pt>
                <c:pt idx="6">
                  <c:v>Chr15_L17_2</c:v>
                </c:pt>
                <c:pt idx="7">
                  <c:v>Chr15_L18</c:v>
                </c:pt>
                <c:pt idx="8">
                  <c:v>Chr3_L02</c:v>
                </c:pt>
                <c:pt idx="9">
                  <c:v>Chr3_L04</c:v>
                </c:pt>
                <c:pt idx="10">
                  <c:v>Chr4_L01</c:v>
                </c:pt>
                <c:pt idx="11">
                  <c:v>Chr4_L03</c:v>
                </c:pt>
                <c:pt idx="12">
                  <c:v>Chr4_L06_2</c:v>
                </c:pt>
                <c:pt idx="13">
                  <c:v>Chr4_L10_2</c:v>
                </c:pt>
                <c:pt idx="14">
                  <c:v>Chr4_L12_2</c:v>
                </c:pt>
                <c:pt idx="15">
                  <c:v>Chr4_L13</c:v>
                </c:pt>
                <c:pt idx="16">
                  <c:v>Chr4_L15_2</c:v>
                </c:pt>
                <c:pt idx="17">
                  <c:v>Chr7_990K</c:v>
                </c:pt>
                <c:pt idx="18">
                  <c:v>Chr7_L03</c:v>
                </c:pt>
                <c:pt idx="19">
                  <c:v>Chr7_L06</c:v>
                </c:pt>
                <c:pt idx="20">
                  <c:v>Chr7_L09</c:v>
                </c:pt>
                <c:pt idx="21">
                  <c:v>DSB1_UNCUTTABLE</c:v>
                </c:pt>
                <c:pt idx="22">
                  <c:v>DSB2_Chr7</c:v>
                </c:pt>
                <c:pt idx="23">
                  <c:v>DSB2_UNCUTTABLE</c:v>
                </c:pt>
                <c:pt idx="24">
                  <c:v>LIGATED_A_to_C</c:v>
                </c:pt>
                <c:pt idx="25">
                  <c:v>LIGATED_B_to_D</c:v>
                </c:pt>
              </c:strCache>
            </c:strRef>
          </c:cat>
          <c:val>
            <c:numRef>
              <c:f>CIS!$B$32:$B$57</c:f>
              <c:numCache>
                <c:formatCode>0.00</c:formatCode>
                <c:ptCount val="26"/>
                <c:pt idx="0">
                  <c:v>2.4409354345660077</c:v>
                </c:pt>
                <c:pt idx="1">
                  <c:v>1.5763418311189012</c:v>
                </c:pt>
                <c:pt idx="2">
                  <c:v>2.0309133684929863</c:v>
                </c:pt>
                <c:pt idx="3">
                  <c:v>2.3763543508766438</c:v>
                </c:pt>
                <c:pt idx="4">
                  <c:v>2.9047924589325862</c:v>
                </c:pt>
                <c:pt idx="5">
                  <c:v>1.510926096913358</c:v>
                </c:pt>
                <c:pt idx="6">
                  <c:v>2.9580014293390087</c:v>
                </c:pt>
                <c:pt idx="7">
                  <c:v>0.49171348534405857</c:v>
                </c:pt>
                <c:pt idx="8">
                  <c:v>2.7809511885945009</c:v>
                </c:pt>
                <c:pt idx="9">
                  <c:v>3.9968283280385193</c:v>
                </c:pt>
                <c:pt idx="10">
                  <c:v>1.6893326447466575</c:v>
                </c:pt>
                <c:pt idx="11">
                  <c:v>2.0251751461942544</c:v>
                </c:pt>
                <c:pt idx="12">
                  <c:v>1.9192788619540213</c:v>
                </c:pt>
                <c:pt idx="13">
                  <c:v>4.7176533800737621</c:v>
                </c:pt>
                <c:pt idx="14">
                  <c:v>2.3574703829480899</c:v>
                </c:pt>
                <c:pt idx="15">
                  <c:v>2.0564745405509735</c:v>
                </c:pt>
                <c:pt idx="16">
                  <c:v>2.2604422604422605</c:v>
                </c:pt>
                <c:pt idx="17">
                  <c:v>1.6063892497013517</c:v>
                </c:pt>
                <c:pt idx="18">
                  <c:v>2.5988930447529173</c:v>
                </c:pt>
                <c:pt idx="19">
                  <c:v>2.8599299936879556</c:v>
                </c:pt>
                <c:pt idx="20">
                  <c:v>2.0321653442672551</c:v>
                </c:pt>
                <c:pt idx="21">
                  <c:v>2.9410997563863805</c:v>
                </c:pt>
                <c:pt idx="22">
                  <c:v>46.943666306723628</c:v>
                </c:pt>
                <c:pt idx="23">
                  <c:v>0.92427111535391782</c:v>
                </c:pt>
                <c:pt idx="24">
                  <c:v>1.2624089057210078E-2</c:v>
                </c:pt>
                <c:pt idx="25">
                  <c:v>1.3771733516956448E-2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C-4BF0-B12B-7321157B26B1}"/>
            </c:ext>
          </c:extLst>
        </c:ser>
        <c:ser>
          <c:idx val="1"/>
          <c:order val="1"/>
          <c:tx>
            <c:strRef>
              <c:f>CIS!$C$31</c:f>
              <c:strCache>
                <c:ptCount val="1"/>
                <c:pt idx="0">
                  <c:v>Freq (T120)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CIS!$A$32:$A$57</c:f>
              <c:strCache>
                <c:ptCount val="26"/>
                <c:pt idx="0">
                  <c:v>Chr12_L01</c:v>
                </c:pt>
                <c:pt idx="1">
                  <c:v>Chr12_L05</c:v>
                </c:pt>
                <c:pt idx="2">
                  <c:v>Chr12_L07</c:v>
                </c:pt>
                <c:pt idx="3">
                  <c:v>Chr12_L12</c:v>
                </c:pt>
                <c:pt idx="4">
                  <c:v>Chr15_L01</c:v>
                </c:pt>
                <c:pt idx="5">
                  <c:v>Chr15_L15</c:v>
                </c:pt>
                <c:pt idx="6">
                  <c:v>Chr15_L17_2</c:v>
                </c:pt>
                <c:pt idx="7">
                  <c:v>Chr15_L18</c:v>
                </c:pt>
                <c:pt idx="8">
                  <c:v>Chr3_L02</c:v>
                </c:pt>
                <c:pt idx="9">
                  <c:v>Chr3_L04</c:v>
                </c:pt>
                <c:pt idx="10">
                  <c:v>Chr4_L01</c:v>
                </c:pt>
                <c:pt idx="11">
                  <c:v>Chr4_L03</c:v>
                </c:pt>
                <c:pt idx="12">
                  <c:v>Chr4_L06_2</c:v>
                </c:pt>
                <c:pt idx="13">
                  <c:v>Chr4_L10_2</c:v>
                </c:pt>
                <c:pt idx="14">
                  <c:v>Chr4_L12_2</c:v>
                </c:pt>
                <c:pt idx="15">
                  <c:v>Chr4_L13</c:v>
                </c:pt>
                <c:pt idx="16">
                  <c:v>Chr4_L15_2</c:v>
                </c:pt>
                <c:pt idx="17">
                  <c:v>Chr7_990K</c:v>
                </c:pt>
                <c:pt idx="18">
                  <c:v>Chr7_L03</c:v>
                </c:pt>
                <c:pt idx="19">
                  <c:v>Chr7_L06</c:v>
                </c:pt>
                <c:pt idx="20">
                  <c:v>Chr7_L09</c:v>
                </c:pt>
                <c:pt idx="21">
                  <c:v>DSB1_UNCUTTABLE</c:v>
                </c:pt>
                <c:pt idx="22">
                  <c:v>DSB2_Chr7</c:v>
                </c:pt>
                <c:pt idx="23">
                  <c:v>DSB2_UNCUTTABLE</c:v>
                </c:pt>
                <c:pt idx="24">
                  <c:v>LIGATED_A_to_C</c:v>
                </c:pt>
                <c:pt idx="25">
                  <c:v>LIGATED_B_to_D</c:v>
                </c:pt>
              </c:strCache>
            </c:strRef>
          </c:cat>
          <c:val>
            <c:numRef>
              <c:f>CIS!$C$32:$C$57</c:f>
              <c:numCache>
                <c:formatCode>0.00</c:formatCode>
                <c:ptCount val="26"/>
                <c:pt idx="0">
                  <c:v>1.1226705655880029</c:v>
                </c:pt>
                <c:pt idx="1">
                  <c:v>1.2307919135695067</c:v>
                </c:pt>
                <c:pt idx="2">
                  <c:v>1.6894356961362076</c:v>
                </c:pt>
                <c:pt idx="3">
                  <c:v>2.1550154156152117</c:v>
                </c:pt>
                <c:pt idx="4">
                  <c:v>2.0848237340627032</c:v>
                </c:pt>
                <c:pt idx="5">
                  <c:v>1.2028103623690147</c:v>
                </c:pt>
                <c:pt idx="6">
                  <c:v>2.1802225920507823</c:v>
                </c:pt>
                <c:pt idx="7">
                  <c:v>0.42868053510555104</c:v>
                </c:pt>
                <c:pt idx="8">
                  <c:v>3.3803378475053019</c:v>
                </c:pt>
                <c:pt idx="9">
                  <c:v>5.5811700806669275</c:v>
                </c:pt>
                <c:pt idx="10">
                  <c:v>1.4231353526289778</c:v>
                </c:pt>
                <c:pt idx="11">
                  <c:v>1.7802766527247729</c:v>
                </c:pt>
                <c:pt idx="12">
                  <c:v>1.5718022061035453</c:v>
                </c:pt>
                <c:pt idx="13">
                  <c:v>4.1771779139159069</c:v>
                </c:pt>
                <c:pt idx="14">
                  <c:v>2.5741838086696043</c:v>
                </c:pt>
                <c:pt idx="15">
                  <c:v>1.1252864046520716</c:v>
                </c:pt>
                <c:pt idx="16">
                  <c:v>1.9929919293438088</c:v>
                </c:pt>
                <c:pt idx="17">
                  <c:v>0.69371259300595978</c:v>
                </c:pt>
                <c:pt idx="18">
                  <c:v>1.7983497226219745</c:v>
                </c:pt>
                <c:pt idx="19">
                  <c:v>3.0530012591698039</c:v>
                </c:pt>
                <c:pt idx="20">
                  <c:v>1.5074763454825846</c:v>
                </c:pt>
                <c:pt idx="21">
                  <c:v>10.110059446924428</c:v>
                </c:pt>
                <c:pt idx="22">
                  <c:v>44.85002720868966</c:v>
                </c:pt>
                <c:pt idx="23">
                  <c:v>2.2865604133976936</c:v>
                </c:pt>
                <c:pt idx="24">
                  <c:v>7.0310583328147894E-2</c:v>
                </c:pt>
                <c:pt idx="25">
                  <c:v>3.0002881386362996E-2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0C-4BF0-B12B-7321157B2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8335088"/>
        <c:axId val="148876400"/>
      </c:barChart>
      <c:catAx>
        <c:axId val="177833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76400"/>
        <c:crosses val="autoZero"/>
        <c:auto val="1"/>
        <c:lblAlgn val="ctr"/>
        <c:lblOffset val="100"/>
        <c:noMultiLvlLbl val="0"/>
      </c:catAx>
      <c:valAx>
        <c:axId val="14887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33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CIS Batch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CIS!$B$31</c:f>
              <c:strCache>
                <c:ptCount val="1"/>
                <c:pt idx="0">
                  <c:v>Freq (T0)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CIS!$A$32:$A$52</c:f>
              <c:strCache>
                <c:ptCount val="21"/>
                <c:pt idx="0">
                  <c:v>Chr12_L01</c:v>
                </c:pt>
                <c:pt idx="1">
                  <c:v>Chr12_L05</c:v>
                </c:pt>
                <c:pt idx="2">
                  <c:v>Chr12_L07</c:v>
                </c:pt>
                <c:pt idx="3">
                  <c:v>Chr12_L12</c:v>
                </c:pt>
                <c:pt idx="4">
                  <c:v>Chr15_L01</c:v>
                </c:pt>
                <c:pt idx="5">
                  <c:v>Chr15_L15</c:v>
                </c:pt>
                <c:pt idx="6">
                  <c:v>Chr15_L17_2</c:v>
                </c:pt>
                <c:pt idx="7">
                  <c:v>Chr15_L18</c:v>
                </c:pt>
                <c:pt idx="8">
                  <c:v>Chr3_L02</c:v>
                </c:pt>
                <c:pt idx="9">
                  <c:v>Chr3_L04</c:v>
                </c:pt>
                <c:pt idx="10">
                  <c:v>Chr4_L01</c:v>
                </c:pt>
                <c:pt idx="11">
                  <c:v>Chr4_L03</c:v>
                </c:pt>
                <c:pt idx="12">
                  <c:v>Chr4_L06_2</c:v>
                </c:pt>
                <c:pt idx="13">
                  <c:v>Chr4_L10_2</c:v>
                </c:pt>
                <c:pt idx="14">
                  <c:v>Chr4_L12_2</c:v>
                </c:pt>
                <c:pt idx="15">
                  <c:v>Chr4_L13</c:v>
                </c:pt>
                <c:pt idx="16">
                  <c:v>Chr4_L15_2</c:v>
                </c:pt>
                <c:pt idx="17">
                  <c:v>Chr7_990K</c:v>
                </c:pt>
                <c:pt idx="18">
                  <c:v>Chr7_L03</c:v>
                </c:pt>
                <c:pt idx="19">
                  <c:v>Chr7_L06</c:v>
                </c:pt>
                <c:pt idx="20">
                  <c:v>Chr7_L09</c:v>
                </c:pt>
              </c:strCache>
            </c:strRef>
          </c:cat>
          <c:val>
            <c:numRef>
              <c:f>CIS!$B$32:$B$52</c:f>
              <c:numCache>
                <c:formatCode>0.00</c:formatCode>
                <c:ptCount val="21"/>
                <c:pt idx="0">
                  <c:v>2.4409354345660077</c:v>
                </c:pt>
                <c:pt idx="1">
                  <c:v>1.5763418311189012</c:v>
                </c:pt>
                <c:pt idx="2">
                  <c:v>2.0309133684929863</c:v>
                </c:pt>
                <c:pt idx="3">
                  <c:v>2.3763543508766438</c:v>
                </c:pt>
                <c:pt idx="4">
                  <c:v>2.9047924589325862</c:v>
                </c:pt>
                <c:pt idx="5">
                  <c:v>1.510926096913358</c:v>
                </c:pt>
                <c:pt idx="6">
                  <c:v>2.9580014293390087</c:v>
                </c:pt>
                <c:pt idx="7">
                  <c:v>0.49171348534405857</c:v>
                </c:pt>
                <c:pt idx="8">
                  <c:v>2.7809511885945009</c:v>
                </c:pt>
                <c:pt idx="9">
                  <c:v>3.9968283280385193</c:v>
                </c:pt>
                <c:pt idx="10">
                  <c:v>1.6893326447466575</c:v>
                </c:pt>
                <c:pt idx="11">
                  <c:v>2.0251751461942544</c:v>
                </c:pt>
                <c:pt idx="12">
                  <c:v>1.9192788619540213</c:v>
                </c:pt>
                <c:pt idx="13">
                  <c:v>4.7176533800737621</c:v>
                </c:pt>
                <c:pt idx="14">
                  <c:v>2.3574703829480899</c:v>
                </c:pt>
                <c:pt idx="15">
                  <c:v>2.0564745405509735</c:v>
                </c:pt>
                <c:pt idx="16">
                  <c:v>2.2604422604422605</c:v>
                </c:pt>
                <c:pt idx="17">
                  <c:v>1.6063892497013517</c:v>
                </c:pt>
                <c:pt idx="18">
                  <c:v>2.5988930447529173</c:v>
                </c:pt>
                <c:pt idx="19">
                  <c:v>2.8599299936879556</c:v>
                </c:pt>
                <c:pt idx="20">
                  <c:v>2.0321653442672551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A-4E2C-912A-495D33A9F305}"/>
            </c:ext>
          </c:extLst>
        </c:ser>
        <c:ser>
          <c:idx val="1"/>
          <c:order val="1"/>
          <c:tx>
            <c:strRef>
              <c:f>CIS!$C$31</c:f>
              <c:strCache>
                <c:ptCount val="1"/>
                <c:pt idx="0">
                  <c:v>Freq (T120)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CIS!$A$32:$A$52</c:f>
              <c:strCache>
                <c:ptCount val="21"/>
                <c:pt idx="0">
                  <c:v>Chr12_L01</c:v>
                </c:pt>
                <c:pt idx="1">
                  <c:v>Chr12_L05</c:v>
                </c:pt>
                <c:pt idx="2">
                  <c:v>Chr12_L07</c:v>
                </c:pt>
                <c:pt idx="3">
                  <c:v>Chr12_L12</c:v>
                </c:pt>
                <c:pt idx="4">
                  <c:v>Chr15_L01</c:v>
                </c:pt>
                <c:pt idx="5">
                  <c:v>Chr15_L15</c:v>
                </c:pt>
                <c:pt idx="6">
                  <c:v>Chr15_L17_2</c:v>
                </c:pt>
                <c:pt idx="7">
                  <c:v>Chr15_L18</c:v>
                </c:pt>
                <c:pt idx="8">
                  <c:v>Chr3_L02</c:v>
                </c:pt>
                <c:pt idx="9">
                  <c:v>Chr3_L04</c:v>
                </c:pt>
                <c:pt idx="10">
                  <c:v>Chr4_L01</c:v>
                </c:pt>
                <c:pt idx="11">
                  <c:v>Chr4_L03</c:v>
                </c:pt>
                <c:pt idx="12">
                  <c:v>Chr4_L06_2</c:v>
                </c:pt>
                <c:pt idx="13">
                  <c:v>Chr4_L10_2</c:v>
                </c:pt>
                <c:pt idx="14">
                  <c:v>Chr4_L12_2</c:v>
                </c:pt>
                <c:pt idx="15">
                  <c:v>Chr4_L13</c:v>
                </c:pt>
                <c:pt idx="16">
                  <c:v>Chr4_L15_2</c:v>
                </c:pt>
                <c:pt idx="17">
                  <c:v>Chr7_990K</c:v>
                </c:pt>
                <c:pt idx="18">
                  <c:v>Chr7_L03</c:v>
                </c:pt>
                <c:pt idx="19">
                  <c:v>Chr7_L06</c:v>
                </c:pt>
                <c:pt idx="20">
                  <c:v>Chr7_L09</c:v>
                </c:pt>
              </c:strCache>
            </c:strRef>
          </c:cat>
          <c:val>
            <c:numRef>
              <c:f>CIS!$C$32:$C$52</c:f>
              <c:numCache>
                <c:formatCode>0.00</c:formatCode>
                <c:ptCount val="21"/>
                <c:pt idx="0">
                  <c:v>1.1226705655880029</c:v>
                </c:pt>
                <c:pt idx="1">
                  <c:v>1.2307919135695067</c:v>
                </c:pt>
                <c:pt idx="2">
                  <c:v>1.6894356961362076</c:v>
                </c:pt>
                <c:pt idx="3">
                  <c:v>2.1550154156152117</c:v>
                </c:pt>
                <c:pt idx="4">
                  <c:v>2.0848237340627032</c:v>
                </c:pt>
                <c:pt idx="5">
                  <c:v>1.2028103623690147</c:v>
                </c:pt>
                <c:pt idx="6">
                  <c:v>2.1802225920507823</c:v>
                </c:pt>
                <c:pt idx="7">
                  <c:v>0.42868053510555104</c:v>
                </c:pt>
                <c:pt idx="8">
                  <c:v>3.3803378475053019</c:v>
                </c:pt>
                <c:pt idx="9">
                  <c:v>5.5811700806669275</c:v>
                </c:pt>
                <c:pt idx="10">
                  <c:v>1.4231353526289778</c:v>
                </c:pt>
                <c:pt idx="11">
                  <c:v>1.7802766527247729</c:v>
                </c:pt>
                <c:pt idx="12">
                  <c:v>1.5718022061035453</c:v>
                </c:pt>
                <c:pt idx="13">
                  <c:v>4.1771779139159069</c:v>
                </c:pt>
                <c:pt idx="14">
                  <c:v>2.5741838086696043</c:v>
                </c:pt>
                <c:pt idx="15">
                  <c:v>1.1252864046520716</c:v>
                </c:pt>
                <c:pt idx="16">
                  <c:v>1.9929919293438088</c:v>
                </c:pt>
                <c:pt idx="17">
                  <c:v>0.69371259300595978</c:v>
                </c:pt>
                <c:pt idx="18">
                  <c:v>1.7983497226219745</c:v>
                </c:pt>
                <c:pt idx="19">
                  <c:v>3.0530012591698039</c:v>
                </c:pt>
                <c:pt idx="20">
                  <c:v>1.5074763454825846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BA-4E2C-912A-495D33A9F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8335088"/>
        <c:axId val="148876400"/>
      </c:barChart>
      <c:catAx>
        <c:axId val="177833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76400"/>
        <c:crosses val="autoZero"/>
        <c:auto val="1"/>
        <c:lblAlgn val="ctr"/>
        <c:lblOffset val="100"/>
        <c:noMultiLvlLbl val="0"/>
      </c:catAx>
      <c:valAx>
        <c:axId val="14887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33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TRANS!$B$1:$B$2</c:f>
              <c:strCache>
                <c:ptCount val="2"/>
                <c:pt idx="0">
                  <c:v>T0</c:v>
                </c:pt>
                <c:pt idx="1">
                  <c:v>Freq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TRANS!$A$3:$A$28</c:f>
              <c:strCache>
                <c:ptCount val="26"/>
                <c:pt idx="0">
                  <c:v>Chr12_L01</c:v>
                </c:pt>
                <c:pt idx="1">
                  <c:v>Chr12_L05</c:v>
                </c:pt>
                <c:pt idx="2">
                  <c:v>Chr12_L07</c:v>
                </c:pt>
                <c:pt idx="3">
                  <c:v>Chr12_L12</c:v>
                </c:pt>
                <c:pt idx="4">
                  <c:v>Chr15_L01</c:v>
                </c:pt>
                <c:pt idx="5">
                  <c:v>Chr15_L04</c:v>
                </c:pt>
                <c:pt idx="6">
                  <c:v>Chr15_L15</c:v>
                </c:pt>
                <c:pt idx="7">
                  <c:v>Chr15_L17_2</c:v>
                </c:pt>
                <c:pt idx="8">
                  <c:v>Chr15_L18</c:v>
                </c:pt>
                <c:pt idx="9">
                  <c:v>Chr3_L02</c:v>
                </c:pt>
                <c:pt idx="10">
                  <c:v>Chr3_L04</c:v>
                </c:pt>
                <c:pt idx="11">
                  <c:v>Chr4_L01</c:v>
                </c:pt>
                <c:pt idx="12">
                  <c:v>Chr4_L03</c:v>
                </c:pt>
                <c:pt idx="13">
                  <c:v>Chr4_L06_2</c:v>
                </c:pt>
                <c:pt idx="14">
                  <c:v>Chr4_L10_2</c:v>
                </c:pt>
                <c:pt idx="15">
                  <c:v>Chr4_L12_2</c:v>
                </c:pt>
                <c:pt idx="16">
                  <c:v>Chr4_L13</c:v>
                </c:pt>
                <c:pt idx="17">
                  <c:v>Chr4_L15_2</c:v>
                </c:pt>
                <c:pt idx="18">
                  <c:v>Chr7_990K</c:v>
                </c:pt>
                <c:pt idx="19">
                  <c:v>Chr7_L03</c:v>
                </c:pt>
                <c:pt idx="20">
                  <c:v>Chr7_L06</c:v>
                </c:pt>
                <c:pt idx="21">
                  <c:v>Chr7_L09</c:v>
                </c:pt>
                <c:pt idx="22">
                  <c:v>TRANS_A_to_D_UNCUTTABLE</c:v>
                </c:pt>
                <c:pt idx="23">
                  <c:v>Chr12_L01</c:v>
                </c:pt>
                <c:pt idx="24">
                  <c:v>Chr12_L05</c:v>
                </c:pt>
                <c:pt idx="25">
                  <c:v>Chr12_L07</c:v>
                </c:pt>
              </c:strCache>
            </c:strRef>
          </c:cat>
          <c:val>
            <c:numRef>
              <c:f>TRANS!$B$3:$B$28</c:f>
              <c:numCache>
                <c:formatCode>0.00</c:formatCode>
                <c:ptCount val="26"/>
                <c:pt idx="0">
                  <c:v>3.4381663113006398</c:v>
                </c:pt>
                <c:pt idx="1">
                  <c:v>2.6119402985074625</c:v>
                </c:pt>
                <c:pt idx="2">
                  <c:v>1.7590618336886994</c:v>
                </c:pt>
                <c:pt idx="3">
                  <c:v>2.2654584221748397</c:v>
                </c:pt>
                <c:pt idx="4">
                  <c:v>1.652452025586354</c:v>
                </c:pt>
                <c:pt idx="5">
                  <c:v>5.3304904051172705E-2</c:v>
                </c:pt>
                <c:pt idx="6">
                  <c:v>0.66631130063965882</c:v>
                </c:pt>
                <c:pt idx="7">
                  <c:v>1.4658848614072495</c:v>
                </c:pt>
                <c:pt idx="8">
                  <c:v>1.8656716417910446</c:v>
                </c:pt>
                <c:pt idx="9">
                  <c:v>6.6098081023454158</c:v>
                </c:pt>
                <c:pt idx="10">
                  <c:v>4.3976545842217485</c:v>
                </c:pt>
                <c:pt idx="11">
                  <c:v>3.1716417910447761</c:v>
                </c:pt>
                <c:pt idx="12">
                  <c:v>17.510660980810236</c:v>
                </c:pt>
                <c:pt idx="13">
                  <c:v>2.3454157782515992</c:v>
                </c:pt>
                <c:pt idx="14">
                  <c:v>8.4754797441364609</c:v>
                </c:pt>
                <c:pt idx="15">
                  <c:v>10.287846481876333</c:v>
                </c:pt>
                <c:pt idx="16">
                  <c:v>1.4925373134328357</c:v>
                </c:pt>
                <c:pt idx="17">
                  <c:v>1.9456289978678039</c:v>
                </c:pt>
                <c:pt idx="18">
                  <c:v>0.93283582089552231</c:v>
                </c:pt>
                <c:pt idx="19">
                  <c:v>3.544776119402985</c:v>
                </c:pt>
                <c:pt idx="20">
                  <c:v>2.4520255863539444</c:v>
                </c:pt>
                <c:pt idx="21">
                  <c:v>0.93283582089552231</c:v>
                </c:pt>
                <c:pt idx="22">
                  <c:v>1.732409381663113</c:v>
                </c:pt>
                <c:pt idx="23">
                  <c:v>0.18656716417910446</c:v>
                </c:pt>
                <c:pt idx="24">
                  <c:v>0.53304904051172708</c:v>
                </c:pt>
                <c:pt idx="25">
                  <c:v>0.21321961620469082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8-4A0F-B2B8-987E8165E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479232"/>
        <c:axId val="99320832"/>
      </c:barChart>
      <c:catAx>
        <c:axId val="13447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20832"/>
        <c:crosses val="autoZero"/>
        <c:auto val="1"/>
        <c:lblAlgn val="ctr"/>
        <c:lblOffset val="100"/>
        <c:noMultiLvlLbl val="0"/>
      </c:catAx>
      <c:valAx>
        <c:axId val="9932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TRANS!$D$1:$D$2</c:f>
              <c:strCache>
                <c:ptCount val="2"/>
                <c:pt idx="0">
                  <c:v>T120</c:v>
                </c:pt>
                <c:pt idx="1">
                  <c:v>Freq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TRANS!$C$3:$C$28</c:f>
              <c:strCache>
                <c:ptCount val="26"/>
                <c:pt idx="0">
                  <c:v>Chr12_L01</c:v>
                </c:pt>
                <c:pt idx="1">
                  <c:v>Chr12_L05</c:v>
                </c:pt>
                <c:pt idx="2">
                  <c:v>Chr12_L07</c:v>
                </c:pt>
                <c:pt idx="3">
                  <c:v>Chr12_L12</c:v>
                </c:pt>
                <c:pt idx="4">
                  <c:v>Chr15_L01</c:v>
                </c:pt>
                <c:pt idx="5">
                  <c:v>Chr15_L04</c:v>
                </c:pt>
                <c:pt idx="6">
                  <c:v>Chr15_L15</c:v>
                </c:pt>
                <c:pt idx="7">
                  <c:v>Chr15_L17_2</c:v>
                </c:pt>
                <c:pt idx="8">
                  <c:v>Chr15_L18</c:v>
                </c:pt>
                <c:pt idx="9">
                  <c:v>Chr3_L02</c:v>
                </c:pt>
                <c:pt idx="10">
                  <c:v>Chr3_L04</c:v>
                </c:pt>
                <c:pt idx="11">
                  <c:v>Chr4_L01</c:v>
                </c:pt>
                <c:pt idx="12">
                  <c:v>Chr4_L03</c:v>
                </c:pt>
                <c:pt idx="13">
                  <c:v>Chr4_L06_2</c:v>
                </c:pt>
                <c:pt idx="14">
                  <c:v>Chr4_L10_2</c:v>
                </c:pt>
                <c:pt idx="15">
                  <c:v>Chr4_L12_2</c:v>
                </c:pt>
                <c:pt idx="16">
                  <c:v>Chr4_L13</c:v>
                </c:pt>
                <c:pt idx="17">
                  <c:v>Chr4_L15_2</c:v>
                </c:pt>
                <c:pt idx="18">
                  <c:v>Chr7_990K</c:v>
                </c:pt>
                <c:pt idx="19">
                  <c:v>Chr7_L03</c:v>
                </c:pt>
                <c:pt idx="20">
                  <c:v>Chr7_L06</c:v>
                </c:pt>
                <c:pt idx="21">
                  <c:v>Chr7_L09</c:v>
                </c:pt>
                <c:pt idx="22">
                  <c:v>TRANS_A_to_D_UNCUTTABLE</c:v>
                </c:pt>
                <c:pt idx="23">
                  <c:v>Chr12_L01</c:v>
                </c:pt>
                <c:pt idx="24">
                  <c:v>Chr12_L05</c:v>
                </c:pt>
                <c:pt idx="25">
                  <c:v>Chr12_L07</c:v>
                </c:pt>
              </c:strCache>
            </c:strRef>
          </c:cat>
          <c:val>
            <c:numRef>
              <c:f>TRANS!$D$3:$D$28</c:f>
              <c:numCache>
                <c:formatCode>0.00</c:formatCode>
                <c:ptCount val="26"/>
                <c:pt idx="0">
                  <c:v>1.7955746757079338</c:v>
                </c:pt>
                <c:pt idx="1">
                  <c:v>0.17575383969675903</c:v>
                </c:pt>
                <c:pt idx="2">
                  <c:v>0.46037013234001806</c:v>
                </c:pt>
                <c:pt idx="3">
                  <c:v>3.1556995396298677</c:v>
                </c:pt>
                <c:pt idx="4">
                  <c:v>2.2808651286019699</c:v>
                </c:pt>
                <c:pt idx="5">
                  <c:v>1.8362341460855421E-2</c:v>
                </c:pt>
                <c:pt idx="6">
                  <c:v>0.87745760266516259</c:v>
                </c:pt>
                <c:pt idx="7">
                  <c:v>4.7230565428957414</c:v>
                </c:pt>
                <c:pt idx="8">
                  <c:v>4.3282662014873498E-2</c:v>
                </c:pt>
                <c:pt idx="9">
                  <c:v>1.1043636792885902</c:v>
                </c:pt>
                <c:pt idx="10">
                  <c:v>4.4830345080859884</c:v>
                </c:pt>
                <c:pt idx="11">
                  <c:v>9.1024749813097596</c:v>
                </c:pt>
                <c:pt idx="12">
                  <c:v>1.5319439161627952</c:v>
                </c:pt>
                <c:pt idx="13">
                  <c:v>3.7629684036567292</c:v>
                </c:pt>
                <c:pt idx="14">
                  <c:v>2.5667930170638615</c:v>
                </c:pt>
                <c:pt idx="15">
                  <c:v>4.1538239576092231</c:v>
                </c:pt>
                <c:pt idx="16">
                  <c:v>0.13115958186325302</c:v>
                </c:pt>
                <c:pt idx="17">
                  <c:v>2.2467636373175242</c:v>
                </c:pt>
                <c:pt idx="18">
                  <c:v>1.1423999580289339</c:v>
                </c:pt>
                <c:pt idx="19">
                  <c:v>1.9083719161103314</c:v>
                </c:pt>
                <c:pt idx="20">
                  <c:v>4.4764765289928254</c:v>
                </c:pt>
                <c:pt idx="21">
                  <c:v>0.61513843893865661</c:v>
                </c:pt>
                <c:pt idx="22">
                  <c:v>5.9953044869692951</c:v>
                </c:pt>
                <c:pt idx="23">
                  <c:v>0.9286098395918313</c:v>
                </c:pt>
                <c:pt idx="24">
                  <c:v>0.72137770024789161</c:v>
                </c:pt>
                <c:pt idx="25">
                  <c:v>0.259695972089241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6-4C9C-B6FF-CB9C24A8C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380240"/>
        <c:axId val="132381200"/>
      </c:barChart>
      <c:catAx>
        <c:axId val="13238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81200"/>
        <c:crosses val="autoZero"/>
        <c:auto val="1"/>
        <c:lblAlgn val="ctr"/>
        <c:lblOffset val="100"/>
        <c:noMultiLvlLbl val="0"/>
      </c:catAx>
      <c:valAx>
        <c:axId val="13238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8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 Batch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TRANS!$B$31</c:f>
              <c:strCache>
                <c:ptCount val="1"/>
                <c:pt idx="0">
                  <c:v>T0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TRANS!$A$32:$A$58</c:f>
              <c:strCache>
                <c:ptCount val="27"/>
                <c:pt idx="0">
                  <c:v>Strain</c:v>
                </c:pt>
                <c:pt idx="1">
                  <c:v>Chr12_L01</c:v>
                </c:pt>
                <c:pt idx="2">
                  <c:v>Chr12_L05</c:v>
                </c:pt>
                <c:pt idx="3">
                  <c:v>Chr12_L07</c:v>
                </c:pt>
                <c:pt idx="4">
                  <c:v>Chr12_L12</c:v>
                </c:pt>
                <c:pt idx="5">
                  <c:v>Chr15_L01</c:v>
                </c:pt>
                <c:pt idx="6">
                  <c:v>Chr15_L04</c:v>
                </c:pt>
                <c:pt idx="7">
                  <c:v>Chr15_L15</c:v>
                </c:pt>
                <c:pt idx="8">
                  <c:v>Chr15_L17_2</c:v>
                </c:pt>
                <c:pt idx="9">
                  <c:v>Chr15_L18</c:v>
                </c:pt>
                <c:pt idx="10">
                  <c:v>Chr3_L02</c:v>
                </c:pt>
                <c:pt idx="11">
                  <c:v>Chr3_L04</c:v>
                </c:pt>
                <c:pt idx="12">
                  <c:v>Chr4_L01</c:v>
                </c:pt>
                <c:pt idx="13">
                  <c:v>Chr4_L03</c:v>
                </c:pt>
                <c:pt idx="14">
                  <c:v>Chr4_L06_2</c:v>
                </c:pt>
                <c:pt idx="15">
                  <c:v>Chr4_L10_2</c:v>
                </c:pt>
                <c:pt idx="16">
                  <c:v>Chr4_L12_2</c:v>
                </c:pt>
                <c:pt idx="17">
                  <c:v>Chr4_L13</c:v>
                </c:pt>
                <c:pt idx="18">
                  <c:v>Chr4_L15_2</c:v>
                </c:pt>
                <c:pt idx="19">
                  <c:v>Chr7_990K</c:v>
                </c:pt>
                <c:pt idx="20">
                  <c:v>Chr7_L03</c:v>
                </c:pt>
                <c:pt idx="21">
                  <c:v>Chr7_L06</c:v>
                </c:pt>
                <c:pt idx="22">
                  <c:v>Chr7_L09</c:v>
                </c:pt>
                <c:pt idx="23">
                  <c:v>TRANS_A_to_D_UNCUTTABLE</c:v>
                </c:pt>
                <c:pt idx="24">
                  <c:v>Chr12_L01</c:v>
                </c:pt>
                <c:pt idx="25">
                  <c:v>Chr12_L05</c:v>
                </c:pt>
                <c:pt idx="26">
                  <c:v>Chr12_L07</c:v>
                </c:pt>
              </c:strCache>
            </c:strRef>
          </c:cat>
          <c:val>
            <c:numRef>
              <c:f>TRANS!$B$32:$B$58</c:f>
              <c:numCache>
                <c:formatCode>0.00</c:formatCode>
                <c:ptCount val="27"/>
                <c:pt idx="0" formatCode="General">
                  <c:v>0</c:v>
                </c:pt>
                <c:pt idx="1">
                  <c:v>3.4381663113006398</c:v>
                </c:pt>
                <c:pt idx="2">
                  <c:v>2.6119402985074625</c:v>
                </c:pt>
                <c:pt idx="3">
                  <c:v>1.7590618336886994</c:v>
                </c:pt>
                <c:pt idx="4">
                  <c:v>2.2654584221748397</c:v>
                </c:pt>
                <c:pt idx="5">
                  <c:v>1.652452025586354</c:v>
                </c:pt>
                <c:pt idx="6">
                  <c:v>5.3304904051172705E-2</c:v>
                </c:pt>
                <c:pt idx="7">
                  <c:v>0.66631130063965882</c:v>
                </c:pt>
                <c:pt idx="8">
                  <c:v>1.4658848614072495</c:v>
                </c:pt>
                <c:pt idx="9">
                  <c:v>1.8656716417910446</c:v>
                </c:pt>
                <c:pt idx="10">
                  <c:v>6.6098081023454158</c:v>
                </c:pt>
                <c:pt idx="11">
                  <c:v>4.3976545842217485</c:v>
                </c:pt>
                <c:pt idx="12">
                  <c:v>3.1716417910447761</c:v>
                </c:pt>
                <c:pt idx="13">
                  <c:v>17.510660980810236</c:v>
                </c:pt>
                <c:pt idx="14">
                  <c:v>2.3454157782515992</c:v>
                </c:pt>
                <c:pt idx="15">
                  <c:v>8.4754797441364609</c:v>
                </c:pt>
                <c:pt idx="16">
                  <c:v>10.287846481876333</c:v>
                </c:pt>
                <c:pt idx="17">
                  <c:v>1.4925373134328357</c:v>
                </c:pt>
                <c:pt idx="18">
                  <c:v>1.9456289978678039</c:v>
                </c:pt>
                <c:pt idx="19">
                  <c:v>0.93283582089552231</c:v>
                </c:pt>
                <c:pt idx="20">
                  <c:v>3.544776119402985</c:v>
                </c:pt>
                <c:pt idx="21">
                  <c:v>2.4520255863539444</c:v>
                </c:pt>
                <c:pt idx="22">
                  <c:v>0.93283582089552231</c:v>
                </c:pt>
                <c:pt idx="23">
                  <c:v>1.732409381663113</c:v>
                </c:pt>
                <c:pt idx="24">
                  <c:v>0.18656716417910446</c:v>
                </c:pt>
                <c:pt idx="25">
                  <c:v>0.53304904051172708</c:v>
                </c:pt>
                <c:pt idx="26">
                  <c:v>0.21321961620469082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E-42D8-B191-1CBFABE32207}"/>
            </c:ext>
          </c:extLst>
        </c:ser>
        <c:ser>
          <c:idx val="1"/>
          <c:order val="1"/>
          <c:tx>
            <c:strRef>
              <c:f>TRANS!$C$31</c:f>
              <c:strCache>
                <c:ptCount val="1"/>
                <c:pt idx="0">
                  <c:v>T120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TRANS!$A$32:$A$58</c:f>
              <c:strCache>
                <c:ptCount val="27"/>
                <c:pt idx="0">
                  <c:v>Strain</c:v>
                </c:pt>
                <c:pt idx="1">
                  <c:v>Chr12_L01</c:v>
                </c:pt>
                <c:pt idx="2">
                  <c:v>Chr12_L05</c:v>
                </c:pt>
                <c:pt idx="3">
                  <c:v>Chr12_L07</c:v>
                </c:pt>
                <c:pt idx="4">
                  <c:v>Chr12_L12</c:v>
                </c:pt>
                <c:pt idx="5">
                  <c:v>Chr15_L01</c:v>
                </c:pt>
                <c:pt idx="6">
                  <c:v>Chr15_L04</c:v>
                </c:pt>
                <c:pt idx="7">
                  <c:v>Chr15_L15</c:v>
                </c:pt>
                <c:pt idx="8">
                  <c:v>Chr15_L17_2</c:v>
                </c:pt>
                <c:pt idx="9">
                  <c:v>Chr15_L18</c:v>
                </c:pt>
                <c:pt idx="10">
                  <c:v>Chr3_L02</c:v>
                </c:pt>
                <c:pt idx="11">
                  <c:v>Chr3_L04</c:v>
                </c:pt>
                <c:pt idx="12">
                  <c:v>Chr4_L01</c:v>
                </c:pt>
                <c:pt idx="13">
                  <c:v>Chr4_L03</c:v>
                </c:pt>
                <c:pt idx="14">
                  <c:v>Chr4_L06_2</c:v>
                </c:pt>
                <c:pt idx="15">
                  <c:v>Chr4_L10_2</c:v>
                </c:pt>
                <c:pt idx="16">
                  <c:v>Chr4_L12_2</c:v>
                </c:pt>
                <c:pt idx="17">
                  <c:v>Chr4_L13</c:v>
                </c:pt>
                <c:pt idx="18">
                  <c:v>Chr4_L15_2</c:v>
                </c:pt>
                <c:pt idx="19">
                  <c:v>Chr7_990K</c:v>
                </c:pt>
                <c:pt idx="20">
                  <c:v>Chr7_L03</c:v>
                </c:pt>
                <c:pt idx="21">
                  <c:v>Chr7_L06</c:v>
                </c:pt>
                <c:pt idx="22">
                  <c:v>Chr7_L09</c:v>
                </c:pt>
                <c:pt idx="23">
                  <c:v>TRANS_A_to_D_UNCUTTABLE</c:v>
                </c:pt>
                <c:pt idx="24">
                  <c:v>Chr12_L01</c:v>
                </c:pt>
                <c:pt idx="25">
                  <c:v>Chr12_L05</c:v>
                </c:pt>
                <c:pt idx="26">
                  <c:v>Chr12_L07</c:v>
                </c:pt>
              </c:strCache>
            </c:strRef>
          </c:cat>
          <c:val>
            <c:numRef>
              <c:f>TRANS!$C$32:$C$58</c:f>
              <c:numCache>
                <c:formatCode>0.00</c:formatCode>
                <c:ptCount val="27"/>
                <c:pt idx="0" formatCode="General">
                  <c:v>0</c:v>
                </c:pt>
                <c:pt idx="1">
                  <c:v>1.7955746757079338</c:v>
                </c:pt>
                <c:pt idx="2">
                  <c:v>0.17575383969675903</c:v>
                </c:pt>
                <c:pt idx="3">
                  <c:v>0.46037013234001806</c:v>
                </c:pt>
                <c:pt idx="4">
                  <c:v>3.1556995396298677</c:v>
                </c:pt>
                <c:pt idx="5">
                  <c:v>2.2808651286019699</c:v>
                </c:pt>
                <c:pt idx="6">
                  <c:v>1.8362341460855421E-2</c:v>
                </c:pt>
                <c:pt idx="7">
                  <c:v>0.87745760266516259</c:v>
                </c:pt>
                <c:pt idx="8">
                  <c:v>4.7230565428957414</c:v>
                </c:pt>
                <c:pt idx="9">
                  <c:v>4.3282662014873498E-2</c:v>
                </c:pt>
                <c:pt idx="10">
                  <c:v>1.1043636792885902</c:v>
                </c:pt>
                <c:pt idx="11">
                  <c:v>4.4830345080859884</c:v>
                </c:pt>
                <c:pt idx="12">
                  <c:v>9.1024749813097596</c:v>
                </c:pt>
                <c:pt idx="13">
                  <c:v>1.5319439161627952</c:v>
                </c:pt>
                <c:pt idx="14">
                  <c:v>3.7629684036567292</c:v>
                </c:pt>
                <c:pt idx="15">
                  <c:v>2.5667930170638615</c:v>
                </c:pt>
                <c:pt idx="16">
                  <c:v>4.1538239576092231</c:v>
                </c:pt>
                <c:pt idx="17">
                  <c:v>0.13115958186325302</c:v>
                </c:pt>
                <c:pt idx="18">
                  <c:v>2.2467636373175242</c:v>
                </c:pt>
                <c:pt idx="19">
                  <c:v>1.1423999580289339</c:v>
                </c:pt>
                <c:pt idx="20">
                  <c:v>1.9083719161103314</c:v>
                </c:pt>
                <c:pt idx="21">
                  <c:v>4.4764765289928254</c:v>
                </c:pt>
                <c:pt idx="22">
                  <c:v>0.61513843893865661</c:v>
                </c:pt>
                <c:pt idx="23">
                  <c:v>5.9953044869692951</c:v>
                </c:pt>
                <c:pt idx="24">
                  <c:v>0.9286098395918313</c:v>
                </c:pt>
                <c:pt idx="25">
                  <c:v>0.72137770024789161</c:v>
                </c:pt>
                <c:pt idx="26">
                  <c:v>0.259695972089241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4E-42D8-B191-1CBFABE32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476944"/>
        <c:axId val="188478864"/>
      </c:barChart>
      <c:catAx>
        <c:axId val="18847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8864"/>
        <c:crosses val="autoZero"/>
        <c:auto val="1"/>
        <c:lblAlgn val="ctr"/>
        <c:lblOffset val="100"/>
        <c:noMultiLvlLbl val="0"/>
      </c:catAx>
      <c:valAx>
        <c:axId val="18847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552449</xdr:colOff>
      <xdr:row>0</xdr:row>
      <xdr:rowOff>28575</xdr:rowOff>
    </xdr:from>
    <xdr:to>
      <xdr:col>19</xdr:col>
      <xdr:colOff>0</xdr:colOff>
      <xdr:row>22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A6220C-8033-76B8-7FAA-62C5A1910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533400</xdr:colOff>
      <xdr:row>22</xdr:row>
      <xdr:rowOff>47624</xdr:rowOff>
    </xdr:from>
    <xdr:to>
      <xdr:col>19</xdr:col>
      <xdr:colOff>0</xdr:colOff>
      <xdr:row>47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346D9D-5C96-B5CE-8FED-1F3A0C63E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533399</xdr:colOff>
      <xdr:row>46</xdr:row>
      <xdr:rowOff>171449</xdr:rowOff>
    </xdr:from>
    <xdr:to>
      <xdr:col>19</xdr:col>
      <xdr:colOff>9524</xdr:colOff>
      <xdr:row>71</xdr:row>
      <xdr:rowOff>76199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5E693A-02D8-1910-6A9B-643FAD0A0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533400</xdr:colOff>
      <xdr:row>71</xdr:row>
      <xdr:rowOff>66675</xdr:rowOff>
    </xdr:from>
    <xdr:to>
      <xdr:col>19</xdr:col>
      <xdr:colOff>9525</xdr:colOff>
      <xdr:row>95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188837-5FE1-4E5B-9E1C-6EA0AA77C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457199</xdr:colOff>
      <xdr:row>0</xdr:row>
      <xdr:rowOff>19050</xdr:rowOff>
    </xdr:from>
    <xdr:to>
      <xdr:col>19</xdr:col>
      <xdr:colOff>666750</xdr:colOff>
      <xdr:row>24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0C46B1-DE71-E301-B21D-E3ADCD675D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447674</xdr:colOff>
      <xdr:row>24</xdr:row>
      <xdr:rowOff>123825</xdr:rowOff>
    </xdr:from>
    <xdr:to>
      <xdr:col>20</xdr:col>
      <xdr:colOff>19049</xdr:colOff>
      <xdr:row>46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6D23A3-92BF-E083-D7F9-3F8F310B3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457200</xdr:colOff>
      <xdr:row>46</xdr:row>
      <xdr:rowOff>76199</xdr:rowOff>
    </xdr:from>
    <xdr:to>
      <xdr:col>20</xdr:col>
      <xdr:colOff>38100</xdr:colOff>
      <xdr:row>69</xdr:row>
      <xdr:rowOff>95249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771C7B-B419-790D-4234-EF950F9FE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666E-86A5-5C4C-8DCB-0AF84D83D2AA}">
  <dimension ref="A1:O73"/>
  <sheetViews>
    <sheetView tabSelected="1" topLeftCell="D1" zoomScaleNormal="100" workbookViewId="0">
      <selection activeCell="I7" sqref="I7"/>
    </sheetView>
  </sheetViews>
  <sheetFormatPr defaultColWidth="11" defaultRowHeight="15.75"/>
  <cols>
    <col min="2" max="2" width="28.125" bestFit="1" customWidth="1"/>
    <col min="5" max="5" width="28.125" bestFit="1" customWidth="1"/>
    <col min="7" max="7" width="16.875" bestFit="1" customWidth="1"/>
    <col min="9" max="9" width="12.375" bestFit="1" customWidth="1"/>
    <col min="11" max="11" width="16.5" bestFit="1" customWidth="1"/>
    <col min="12" max="12" width="25.75" bestFit="1" customWidth="1"/>
    <col min="14" max="14" width="16.5" bestFit="1" customWidth="1"/>
    <col min="15" max="15" width="17.25" bestFit="1" customWidth="1"/>
  </cols>
  <sheetData>
    <row r="1" spans="1:15">
      <c r="A1" s="10" t="s">
        <v>0</v>
      </c>
      <c r="B1" s="10"/>
      <c r="D1" s="10" t="s">
        <v>1</v>
      </c>
      <c r="E1" s="10"/>
      <c r="H1" s="2" t="s">
        <v>0</v>
      </c>
      <c r="I1" s="2" t="s">
        <v>1</v>
      </c>
      <c r="J1" s="10" t="s">
        <v>2</v>
      </c>
      <c r="K1" s="10"/>
      <c r="L1" s="10"/>
      <c r="M1" s="10" t="s">
        <v>3</v>
      </c>
      <c r="N1" s="10"/>
      <c r="O1" s="10"/>
    </row>
    <row r="2" spans="1:15">
      <c r="A2" s="1" t="s">
        <v>4</v>
      </c>
      <c r="B2" s="1" t="s">
        <v>5</v>
      </c>
      <c r="D2" s="1" t="s">
        <v>4</v>
      </c>
      <c r="E2" s="1" t="s">
        <v>5</v>
      </c>
      <c r="G2" s="2" t="s">
        <v>6</v>
      </c>
      <c r="H2" s="3">
        <f>SUM(A3:A73)</f>
        <v>962490</v>
      </c>
      <c r="I2" s="3">
        <f>SUM(D3:D73)</f>
        <v>2601865</v>
      </c>
      <c r="J2" s="9" t="s">
        <v>7</v>
      </c>
      <c r="K2" s="7" t="s">
        <v>8</v>
      </c>
      <c r="L2" s="7" t="s">
        <v>5</v>
      </c>
      <c r="M2" s="9" t="s">
        <v>7</v>
      </c>
      <c r="N2" s="7" t="s">
        <v>8</v>
      </c>
      <c r="O2" s="7" t="s">
        <v>5</v>
      </c>
    </row>
    <row r="3" spans="1:15">
      <c r="A3">
        <v>23396</v>
      </c>
      <c r="B3" t="s">
        <v>9</v>
      </c>
      <c r="D3">
        <v>28326</v>
      </c>
      <c r="E3" t="s">
        <v>9</v>
      </c>
      <c r="G3" s="2" t="s">
        <v>10</v>
      </c>
      <c r="H3">
        <f>(H2/3348477)*100</f>
        <v>28.744112621947231</v>
      </c>
      <c r="I3">
        <f>(I2/9869586)*100</f>
        <v>26.362453298446358</v>
      </c>
      <c r="J3" s="9"/>
      <c r="K3" s="8">
        <f>(A3/$H$4)*100</f>
        <v>2.4409354345660077</v>
      </c>
      <c r="L3" t="s">
        <v>11</v>
      </c>
      <c r="M3" s="9"/>
      <c r="N3" s="8">
        <f>(D3/$I$4)*100</f>
        <v>1.1226705655880029</v>
      </c>
      <c r="O3" t="s">
        <v>11</v>
      </c>
    </row>
    <row r="4" spans="1:15">
      <c r="A4">
        <v>15109</v>
      </c>
      <c r="B4" t="s">
        <v>12</v>
      </c>
      <c r="D4">
        <v>31054</v>
      </c>
      <c r="E4" t="s">
        <v>12</v>
      </c>
      <c r="G4" s="2" t="s">
        <v>13</v>
      </c>
      <c r="H4">
        <f>SUM(A3:A26)</f>
        <v>958485</v>
      </c>
      <c r="I4">
        <f>SUM(D3:D26)</f>
        <v>2523091</v>
      </c>
      <c r="J4" s="9"/>
      <c r="K4" s="8">
        <f t="shared" ref="K4:K29" si="0">(A4/$H$4)*100</f>
        <v>1.5763418311189012</v>
      </c>
      <c r="L4" t="s">
        <v>14</v>
      </c>
      <c r="M4" s="9"/>
      <c r="N4" s="8">
        <f t="shared" ref="N4:N29" si="1">(D4/$I$4)*100</f>
        <v>1.2307919135695067</v>
      </c>
      <c r="O4" t="s">
        <v>14</v>
      </c>
    </row>
    <row r="5" spans="1:15">
      <c r="A5">
        <v>19466</v>
      </c>
      <c r="B5" t="s">
        <v>15</v>
      </c>
      <c r="D5">
        <v>42626</v>
      </c>
      <c r="E5" t="s">
        <v>15</v>
      </c>
      <c r="G5" s="2" t="s">
        <v>16</v>
      </c>
      <c r="H5" s="4">
        <f>H4/H2</f>
        <v>0.99583891780693823</v>
      </c>
      <c r="I5" s="4">
        <f>I4/I2</f>
        <v>0.96972402488215181</v>
      </c>
      <c r="J5" s="9"/>
      <c r="K5" s="8">
        <f t="shared" si="0"/>
        <v>2.0309133684929863</v>
      </c>
      <c r="L5" t="s">
        <v>17</v>
      </c>
      <c r="M5" s="9"/>
      <c r="N5" s="8">
        <f t="shared" si="1"/>
        <v>1.6894356961362076</v>
      </c>
      <c r="O5" t="s">
        <v>17</v>
      </c>
    </row>
    <row r="6" spans="1:15">
      <c r="A6">
        <v>22777</v>
      </c>
      <c r="B6" t="s">
        <v>18</v>
      </c>
      <c r="D6">
        <v>54373</v>
      </c>
      <c r="E6" t="s">
        <v>18</v>
      </c>
      <c r="G6" s="2" t="s">
        <v>19</v>
      </c>
      <c r="H6">
        <f>SUM(A29:A73)</f>
        <v>3752</v>
      </c>
      <c r="I6">
        <f>SUM(D29:D73)</f>
        <v>76243</v>
      </c>
      <c r="J6" s="9"/>
      <c r="K6" s="8">
        <f t="shared" si="0"/>
        <v>2.3763543508766438</v>
      </c>
      <c r="L6" t="s">
        <v>20</v>
      </c>
      <c r="M6" s="9"/>
      <c r="N6" s="8">
        <f t="shared" si="1"/>
        <v>2.1550154156152117</v>
      </c>
      <c r="O6" t="s">
        <v>20</v>
      </c>
    </row>
    <row r="7" spans="1:15">
      <c r="A7">
        <v>27842</v>
      </c>
      <c r="B7" t="s">
        <v>21</v>
      </c>
      <c r="D7">
        <v>52602</v>
      </c>
      <c r="E7" t="s">
        <v>21</v>
      </c>
      <c r="G7" s="2" t="s">
        <v>22</v>
      </c>
      <c r="H7" s="4">
        <f>H6/H2</f>
        <v>3.8982223191929267E-3</v>
      </c>
      <c r="I7" s="4">
        <f>I6/I2</f>
        <v>2.9303211350319866E-2</v>
      </c>
      <c r="J7" s="9"/>
      <c r="K7" s="8">
        <f t="shared" si="0"/>
        <v>2.9047924589325862</v>
      </c>
      <c r="L7" t="s">
        <v>23</v>
      </c>
      <c r="M7" s="9"/>
      <c r="N7" s="8">
        <f t="shared" si="1"/>
        <v>2.0848237340627032</v>
      </c>
      <c r="O7" t="s">
        <v>23</v>
      </c>
    </row>
    <row r="8" spans="1:15">
      <c r="A8">
        <v>14482</v>
      </c>
      <c r="B8" t="s">
        <v>24</v>
      </c>
      <c r="D8">
        <v>30348</v>
      </c>
      <c r="E8" t="s">
        <v>24</v>
      </c>
      <c r="G8" s="2" t="s">
        <v>25</v>
      </c>
      <c r="H8">
        <f>SUM(A29:A51)</f>
        <v>3062</v>
      </c>
      <c r="I8">
        <f>SUM(D29:D51)</f>
        <v>43269</v>
      </c>
      <c r="J8" s="9"/>
      <c r="K8" s="8">
        <f t="shared" si="0"/>
        <v>1.510926096913358</v>
      </c>
      <c r="L8" t="s">
        <v>26</v>
      </c>
      <c r="M8" s="9"/>
      <c r="N8" s="8">
        <f t="shared" si="1"/>
        <v>1.2028103623690147</v>
      </c>
      <c r="O8" t="s">
        <v>26</v>
      </c>
    </row>
    <row r="9" spans="1:15">
      <c r="A9">
        <v>28352</v>
      </c>
      <c r="B9" t="s">
        <v>27</v>
      </c>
      <c r="D9">
        <v>55009</v>
      </c>
      <c r="E9" t="s">
        <v>27</v>
      </c>
      <c r="G9" s="2" t="s">
        <v>28</v>
      </c>
      <c r="H9" s="4">
        <f>H8/H2</f>
        <v>3.1813317540961466E-3</v>
      </c>
      <c r="I9" s="4">
        <f>I8/I2</f>
        <v>1.6629994254121563E-2</v>
      </c>
      <c r="J9" s="9"/>
      <c r="K9" s="8">
        <f t="shared" si="0"/>
        <v>2.9580014293390087</v>
      </c>
      <c r="L9" t="s">
        <v>29</v>
      </c>
      <c r="M9" s="9"/>
      <c r="N9" s="8">
        <f t="shared" si="1"/>
        <v>2.1802225920507823</v>
      </c>
      <c r="O9" t="s">
        <v>29</v>
      </c>
    </row>
    <row r="10" spans="1:15">
      <c r="A10">
        <v>4713</v>
      </c>
      <c r="B10" t="s">
        <v>30</v>
      </c>
      <c r="D10">
        <v>10816</v>
      </c>
      <c r="E10" t="s">
        <v>30</v>
      </c>
      <c r="G10" s="2" t="s">
        <v>31</v>
      </c>
      <c r="H10">
        <f>SUM(A52:A73)</f>
        <v>690</v>
      </c>
      <c r="I10">
        <f>SUM(D52:D73)</f>
        <v>32974</v>
      </c>
      <c r="J10" s="9"/>
      <c r="K10" s="8">
        <f t="shared" si="0"/>
        <v>0.49171348534405857</v>
      </c>
      <c r="L10" t="s">
        <v>32</v>
      </c>
      <c r="M10" s="9"/>
      <c r="N10" s="8">
        <f t="shared" si="1"/>
        <v>0.42868053510555104</v>
      </c>
      <c r="O10" t="s">
        <v>32</v>
      </c>
    </row>
    <row r="11" spans="1:15">
      <c r="A11">
        <v>26655</v>
      </c>
      <c r="B11" t="s">
        <v>33</v>
      </c>
      <c r="D11">
        <v>85289</v>
      </c>
      <c r="E11" t="s">
        <v>33</v>
      </c>
      <c r="G11" s="2" t="s">
        <v>34</v>
      </c>
      <c r="H11" s="5">
        <f>H10/H2</f>
        <v>7.1689056509678022E-4</v>
      </c>
      <c r="I11" s="4">
        <f>I10/I2</f>
        <v>1.2673217096198303E-2</v>
      </c>
      <c r="J11" s="9"/>
      <c r="K11" s="8">
        <f t="shared" si="0"/>
        <v>2.7809511885945009</v>
      </c>
      <c r="L11" t="s">
        <v>35</v>
      </c>
      <c r="M11" s="9"/>
      <c r="N11" s="8">
        <f t="shared" si="1"/>
        <v>3.3803378475053019</v>
      </c>
      <c r="O11" t="s">
        <v>35</v>
      </c>
    </row>
    <row r="12" spans="1:15">
      <c r="A12">
        <v>38309</v>
      </c>
      <c r="B12" t="s">
        <v>36</v>
      </c>
      <c r="D12">
        <v>140818</v>
      </c>
      <c r="E12" t="s">
        <v>36</v>
      </c>
      <c r="J12" s="9"/>
      <c r="K12" s="8">
        <f t="shared" si="0"/>
        <v>3.9968283280385193</v>
      </c>
      <c r="L12" t="s">
        <v>37</v>
      </c>
      <c r="M12" s="9"/>
      <c r="N12" s="8">
        <f t="shared" si="1"/>
        <v>5.5811700806669275</v>
      </c>
      <c r="O12" t="s">
        <v>37</v>
      </c>
    </row>
    <row r="13" spans="1:15">
      <c r="A13">
        <v>16192</v>
      </c>
      <c r="B13" t="s">
        <v>38</v>
      </c>
      <c r="D13">
        <v>35907</v>
      </c>
      <c r="E13" t="s">
        <v>38</v>
      </c>
      <c r="J13" s="9"/>
      <c r="K13" s="8">
        <f t="shared" si="0"/>
        <v>1.6893326447466575</v>
      </c>
      <c r="L13" t="s">
        <v>39</v>
      </c>
      <c r="M13" s="9"/>
      <c r="N13" s="8">
        <f t="shared" si="1"/>
        <v>1.4231353526289778</v>
      </c>
      <c r="O13" t="s">
        <v>39</v>
      </c>
    </row>
    <row r="14" spans="1:15">
      <c r="A14">
        <v>19411</v>
      </c>
      <c r="B14" t="s">
        <v>40</v>
      </c>
      <c r="D14">
        <v>44918</v>
      </c>
      <c r="E14" t="s">
        <v>40</v>
      </c>
      <c r="J14" s="9"/>
      <c r="K14" s="8">
        <f t="shared" si="0"/>
        <v>2.0251751461942544</v>
      </c>
      <c r="L14" t="s">
        <v>41</v>
      </c>
      <c r="M14" s="9"/>
      <c r="N14" s="8">
        <f t="shared" si="1"/>
        <v>1.7802766527247729</v>
      </c>
      <c r="O14" t="s">
        <v>41</v>
      </c>
    </row>
    <row r="15" spans="1:15">
      <c r="A15">
        <v>18396</v>
      </c>
      <c r="B15" t="s">
        <v>42</v>
      </c>
      <c r="D15">
        <v>39658</v>
      </c>
      <c r="E15" t="s">
        <v>42</v>
      </c>
      <c r="J15" s="9"/>
      <c r="K15" s="8">
        <f t="shared" si="0"/>
        <v>1.9192788619540213</v>
      </c>
      <c r="L15" t="s">
        <v>43</v>
      </c>
      <c r="M15" s="9"/>
      <c r="N15" s="8">
        <f t="shared" si="1"/>
        <v>1.5718022061035453</v>
      </c>
      <c r="O15" t="s">
        <v>43</v>
      </c>
    </row>
    <row r="16" spans="1:15">
      <c r="A16">
        <v>45218</v>
      </c>
      <c r="B16" t="s">
        <v>44</v>
      </c>
      <c r="D16">
        <v>105394</v>
      </c>
      <c r="E16" t="s">
        <v>44</v>
      </c>
      <c r="J16" s="9"/>
      <c r="K16" s="8">
        <f t="shared" si="0"/>
        <v>4.7176533800737621</v>
      </c>
      <c r="L16" t="s">
        <v>45</v>
      </c>
      <c r="M16" s="9"/>
      <c r="N16" s="8">
        <f t="shared" si="1"/>
        <v>4.1771779139159069</v>
      </c>
      <c r="O16" t="s">
        <v>45</v>
      </c>
    </row>
    <row r="17" spans="1:15">
      <c r="A17">
        <v>22596</v>
      </c>
      <c r="B17" t="s">
        <v>46</v>
      </c>
      <c r="D17">
        <v>64949</v>
      </c>
      <c r="E17" t="s">
        <v>46</v>
      </c>
      <c r="J17" s="9"/>
      <c r="K17" s="8">
        <f t="shared" si="0"/>
        <v>2.3574703829480899</v>
      </c>
      <c r="L17" t="s">
        <v>47</v>
      </c>
      <c r="M17" s="9"/>
      <c r="N17" s="8">
        <f t="shared" si="1"/>
        <v>2.5741838086696043</v>
      </c>
      <c r="O17" t="s">
        <v>47</v>
      </c>
    </row>
    <row r="18" spans="1:15">
      <c r="A18">
        <v>19711</v>
      </c>
      <c r="B18" t="s">
        <v>48</v>
      </c>
      <c r="D18">
        <v>28392</v>
      </c>
      <c r="E18" t="s">
        <v>48</v>
      </c>
      <c r="J18" s="9"/>
      <c r="K18" s="8">
        <f t="shared" si="0"/>
        <v>2.0564745405509735</v>
      </c>
      <c r="L18" t="s">
        <v>49</v>
      </c>
      <c r="M18" s="9"/>
      <c r="N18" s="8">
        <f t="shared" si="1"/>
        <v>1.1252864046520716</v>
      </c>
      <c r="O18" t="s">
        <v>49</v>
      </c>
    </row>
    <row r="19" spans="1:15">
      <c r="A19">
        <v>21666</v>
      </c>
      <c r="B19" t="s">
        <v>50</v>
      </c>
      <c r="D19">
        <v>50285</v>
      </c>
      <c r="E19" t="s">
        <v>50</v>
      </c>
      <c r="J19" s="9"/>
      <c r="K19" s="8">
        <f t="shared" si="0"/>
        <v>2.2604422604422605</v>
      </c>
      <c r="L19" t="s">
        <v>51</v>
      </c>
      <c r="M19" s="9"/>
      <c r="N19" s="8">
        <f t="shared" si="1"/>
        <v>1.9929919293438088</v>
      </c>
      <c r="O19" t="s">
        <v>51</v>
      </c>
    </row>
    <row r="20" spans="1:15">
      <c r="A20">
        <v>15397</v>
      </c>
      <c r="B20" t="s">
        <v>52</v>
      </c>
      <c r="D20">
        <v>17503</v>
      </c>
      <c r="E20" t="s">
        <v>52</v>
      </c>
      <c r="J20" s="9"/>
      <c r="K20" s="8">
        <f t="shared" si="0"/>
        <v>1.6063892497013517</v>
      </c>
      <c r="L20" t="s">
        <v>53</v>
      </c>
      <c r="M20" s="9"/>
      <c r="N20" s="8">
        <f t="shared" si="1"/>
        <v>0.69371259300595978</v>
      </c>
      <c r="O20" t="s">
        <v>53</v>
      </c>
    </row>
    <row r="21" spans="1:15">
      <c r="A21">
        <v>24910</v>
      </c>
      <c r="B21" t="s">
        <v>54</v>
      </c>
      <c r="D21">
        <v>45374</v>
      </c>
      <c r="E21" t="s">
        <v>54</v>
      </c>
      <c r="J21" s="9"/>
      <c r="K21" s="8">
        <f t="shared" si="0"/>
        <v>2.5988930447529173</v>
      </c>
      <c r="L21" t="s">
        <v>55</v>
      </c>
      <c r="M21" s="9"/>
      <c r="N21" s="8">
        <f t="shared" si="1"/>
        <v>1.7983497226219745</v>
      </c>
      <c r="O21" t="s">
        <v>55</v>
      </c>
    </row>
    <row r="22" spans="1:15">
      <c r="A22">
        <v>27412</v>
      </c>
      <c r="B22" t="s">
        <v>56</v>
      </c>
      <c r="D22">
        <v>77030</v>
      </c>
      <c r="E22" t="s">
        <v>56</v>
      </c>
      <c r="J22" s="9"/>
      <c r="K22" s="8">
        <f t="shared" si="0"/>
        <v>2.8599299936879556</v>
      </c>
      <c r="L22" t="s">
        <v>57</v>
      </c>
      <c r="M22" s="9"/>
      <c r="N22" s="8">
        <f t="shared" si="1"/>
        <v>3.0530012591698039</v>
      </c>
      <c r="O22" t="s">
        <v>57</v>
      </c>
    </row>
    <row r="23" spans="1:15">
      <c r="A23">
        <v>19478</v>
      </c>
      <c r="B23" t="s">
        <v>58</v>
      </c>
      <c r="D23">
        <v>38035</v>
      </c>
      <c r="E23" t="s">
        <v>58</v>
      </c>
      <c r="J23" s="9"/>
      <c r="K23" s="8">
        <f t="shared" si="0"/>
        <v>2.0321653442672551</v>
      </c>
      <c r="L23" t="s">
        <v>59</v>
      </c>
      <c r="M23" s="9"/>
      <c r="N23" s="8">
        <f t="shared" si="1"/>
        <v>1.5074763454825846</v>
      </c>
      <c r="O23" t="s">
        <v>59</v>
      </c>
    </row>
    <row r="24" spans="1:15">
      <c r="A24">
        <v>28190</v>
      </c>
      <c r="B24" t="s">
        <v>60</v>
      </c>
      <c r="D24">
        <v>255086</v>
      </c>
      <c r="E24" t="s">
        <v>60</v>
      </c>
      <c r="J24" s="9"/>
      <c r="K24" s="8">
        <f t="shared" si="0"/>
        <v>2.9410997563863805</v>
      </c>
      <c r="L24" t="s">
        <v>61</v>
      </c>
      <c r="M24" s="9"/>
      <c r="N24" s="8">
        <f t="shared" si="1"/>
        <v>10.110059446924428</v>
      </c>
      <c r="O24" t="s">
        <v>61</v>
      </c>
    </row>
    <row r="25" spans="1:15">
      <c r="A25">
        <v>449948</v>
      </c>
      <c r="B25" t="s">
        <v>62</v>
      </c>
      <c r="D25">
        <v>1131607</v>
      </c>
      <c r="E25" t="s">
        <v>62</v>
      </c>
      <c r="J25" s="9"/>
      <c r="K25" s="8">
        <f t="shared" si="0"/>
        <v>46.943666306723628</v>
      </c>
      <c r="L25" t="s">
        <v>63</v>
      </c>
      <c r="M25" s="9"/>
      <c r="N25" s="8">
        <f t="shared" si="1"/>
        <v>44.85002720868966</v>
      </c>
      <c r="O25" t="s">
        <v>63</v>
      </c>
    </row>
    <row r="26" spans="1:15">
      <c r="A26">
        <v>8859</v>
      </c>
      <c r="B26" t="s">
        <v>64</v>
      </c>
      <c r="D26">
        <v>57692</v>
      </c>
      <c r="E26" t="s">
        <v>64</v>
      </c>
      <c r="J26" s="9"/>
      <c r="K26" s="8">
        <f t="shared" si="0"/>
        <v>0.92427111535391782</v>
      </c>
      <c r="L26" t="s">
        <v>65</v>
      </c>
      <c r="M26" s="9"/>
      <c r="N26" s="8">
        <f t="shared" si="1"/>
        <v>2.2865604133976936</v>
      </c>
      <c r="O26" t="s">
        <v>65</v>
      </c>
    </row>
    <row r="27" spans="1:15">
      <c r="A27">
        <v>121</v>
      </c>
      <c r="B27" t="s">
        <v>66</v>
      </c>
      <c r="D27">
        <v>1774</v>
      </c>
      <c r="E27" t="s">
        <v>66</v>
      </c>
      <c r="J27" s="9"/>
      <c r="K27" s="8">
        <f t="shared" si="0"/>
        <v>1.2624089057210078E-2</v>
      </c>
      <c r="L27" t="s">
        <v>66</v>
      </c>
      <c r="M27" s="9"/>
      <c r="N27" s="8">
        <f t="shared" si="1"/>
        <v>7.0310583328147894E-2</v>
      </c>
      <c r="O27" t="s">
        <v>66</v>
      </c>
    </row>
    <row r="28" spans="1:15">
      <c r="A28">
        <v>132</v>
      </c>
      <c r="B28" t="s">
        <v>67</v>
      </c>
      <c r="D28">
        <v>757</v>
      </c>
      <c r="E28" t="s">
        <v>67</v>
      </c>
      <c r="J28" s="9"/>
      <c r="K28" s="8">
        <f t="shared" si="0"/>
        <v>1.3771733516956448E-2</v>
      </c>
      <c r="L28" t="s">
        <v>67</v>
      </c>
      <c r="M28" s="9"/>
      <c r="N28" s="8">
        <f t="shared" si="1"/>
        <v>3.0002881386362996E-2</v>
      </c>
      <c r="O28" t="s">
        <v>67</v>
      </c>
    </row>
    <row r="29" spans="1:15">
      <c r="A29">
        <v>129</v>
      </c>
      <c r="B29" t="s">
        <v>68</v>
      </c>
      <c r="D29">
        <v>1369</v>
      </c>
      <c r="E29" t="s">
        <v>68</v>
      </c>
      <c r="J29" s="9" t="s">
        <v>69</v>
      </c>
      <c r="K29" s="8">
        <f>(A29/$H$6)*100</f>
        <v>3.4381663113006398</v>
      </c>
      <c r="L29" t="s">
        <v>11</v>
      </c>
      <c r="M29" s="9" t="s">
        <v>69</v>
      </c>
      <c r="N29" s="8">
        <f>(D29/$I$6)*100</f>
        <v>1.7955746757079338</v>
      </c>
      <c r="O29" t="s">
        <v>11</v>
      </c>
    </row>
    <row r="30" spans="1:15">
      <c r="A30">
        <v>98</v>
      </c>
      <c r="B30" t="s">
        <v>70</v>
      </c>
      <c r="D30">
        <v>134</v>
      </c>
      <c r="E30" t="s">
        <v>70</v>
      </c>
      <c r="J30" s="9"/>
      <c r="K30" s="8">
        <f t="shared" ref="K30:K73" si="2">(A30/$H$6)*100</f>
        <v>2.6119402985074625</v>
      </c>
      <c r="L30" t="s">
        <v>14</v>
      </c>
      <c r="M30" s="9"/>
      <c r="N30" s="8">
        <f t="shared" ref="N30:N73" si="3">(D30/$I$6)*100</f>
        <v>0.17575383969675903</v>
      </c>
      <c r="O30" t="s">
        <v>14</v>
      </c>
    </row>
    <row r="31" spans="1:15">
      <c r="A31">
        <v>66</v>
      </c>
      <c r="B31" t="s">
        <v>71</v>
      </c>
      <c r="D31">
        <v>351</v>
      </c>
      <c r="E31" t="s">
        <v>71</v>
      </c>
      <c r="J31" s="9"/>
      <c r="K31" s="8">
        <f t="shared" si="2"/>
        <v>1.7590618336886994</v>
      </c>
      <c r="L31" t="s">
        <v>17</v>
      </c>
      <c r="M31" s="9"/>
      <c r="N31" s="8">
        <f t="shared" si="3"/>
        <v>0.46037013234001806</v>
      </c>
      <c r="O31" t="s">
        <v>17</v>
      </c>
    </row>
    <row r="32" spans="1:15">
      <c r="A32">
        <v>85</v>
      </c>
      <c r="B32" t="s">
        <v>72</v>
      </c>
      <c r="D32">
        <v>2406</v>
      </c>
      <c r="E32" t="s">
        <v>72</v>
      </c>
      <c r="J32" s="9"/>
      <c r="K32" s="8">
        <f t="shared" si="2"/>
        <v>2.2654584221748397</v>
      </c>
      <c r="L32" t="s">
        <v>20</v>
      </c>
      <c r="M32" s="9"/>
      <c r="N32" s="8">
        <f t="shared" si="3"/>
        <v>3.1556995396298677</v>
      </c>
      <c r="O32" t="s">
        <v>20</v>
      </c>
    </row>
    <row r="33" spans="1:15">
      <c r="A33">
        <v>62</v>
      </c>
      <c r="B33" t="s">
        <v>73</v>
      </c>
      <c r="D33">
        <v>1739</v>
      </c>
      <c r="E33" t="s">
        <v>73</v>
      </c>
      <c r="J33" s="9"/>
      <c r="K33" s="8">
        <f t="shared" si="2"/>
        <v>1.652452025586354</v>
      </c>
      <c r="L33" t="s">
        <v>23</v>
      </c>
      <c r="M33" s="9"/>
      <c r="N33" s="8">
        <f t="shared" si="3"/>
        <v>2.2808651286019699</v>
      </c>
      <c r="O33" t="s">
        <v>23</v>
      </c>
    </row>
    <row r="34" spans="1:15">
      <c r="A34">
        <v>2</v>
      </c>
      <c r="B34" t="s">
        <v>74</v>
      </c>
      <c r="D34">
        <v>14</v>
      </c>
      <c r="E34" t="s">
        <v>74</v>
      </c>
      <c r="J34" s="9"/>
      <c r="K34" s="8">
        <f t="shared" si="2"/>
        <v>5.3304904051172705E-2</v>
      </c>
      <c r="L34" t="s">
        <v>75</v>
      </c>
      <c r="M34" s="9"/>
      <c r="N34" s="8">
        <f t="shared" si="3"/>
        <v>1.8362341460855421E-2</v>
      </c>
      <c r="O34" t="s">
        <v>75</v>
      </c>
    </row>
    <row r="35" spans="1:15">
      <c r="A35">
        <v>25</v>
      </c>
      <c r="B35" t="s">
        <v>76</v>
      </c>
      <c r="D35">
        <v>669</v>
      </c>
      <c r="E35" t="s">
        <v>76</v>
      </c>
      <c r="J35" s="9"/>
      <c r="K35" s="8">
        <f t="shared" si="2"/>
        <v>0.66631130063965882</v>
      </c>
      <c r="L35" t="s">
        <v>26</v>
      </c>
      <c r="M35" s="9"/>
      <c r="N35" s="8">
        <f t="shared" si="3"/>
        <v>0.87745760266516259</v>
      </c>
      <c r="O35" t="s">
        <v>26</v>
      </c>
    </row>
    <row r="36" spans="1:15">
      <c r="A36">
        <v>55</v>
      </c>
      <c r="B36" t="s">
        <v>77</v>
      </c>
      <c r="D36">
        <v>3601</v>
      </c>
      <c r="E36" t="s">
        <v>77</v>
      </c>
      <c r="J36" s="9"/>
      <c r="K36" s="8">
        <f t="shared" si="2"/>
        <v>1.4658848614072495</v>
      </c>
      <c r="L36" t="s">
        <v>29</v>
      </c>
      <c r="M36" s="9"/>
      <c r="N36" s="8">
        <f t="shared" si="3"/>
        <v>4.7230565428957414</v>
      </c>
      <c r="O36" t="s">
        <v>29</v>
      </c>
    </row>
    <row r="37" spans="1:15">
      <c r="A37">
        <v>70</v>
      </c>
      <c r="B37" t="s">
        <v>78</v>
      </c>
      <c r="D37">
        <v>33</v>
      </c>
      <c r="E37" t="s">
        <v>78</v>
      </c>
      <c r="J37" s="9"/>
      <c r="K37" s="8">
        <f t="shared" si="2"/>
        <v>1.8656716417910446</v>
      </c>
      <c r="L37" t="s">
        <v>32</v>
      </c>
      <c r="M37" s="9"/>
      <c r="N37" s="8">
        <f t="shared" si="3"/>
        <v>4.3282662014873498E-2</v>
      </c>
      <c r="O37" t="s">
        <v>32</v>
      </c>
    </row>
    <row r="38" spans="1:15">
      <c r="A38">
        <v>248</v>
      </c>
      <c r="B38" t="s">
        <v>79</v>
      </c>
      <c r="D38">
        <v>842</v>
      </c>
      <c r="E38" t="s">
        <v>79</v>
      </c>
      <c r="J38" s="9"/>
      <c r="K38" s="8">
        <f t="shared" si="2"/>
        <v>6.6098081023454158</v>
      </c>
      <c r="L38" t="s">
        <v>35</v>
      </c>
      <c r="M38" s="9"/>
      <c r="N38" s="8">
        <f t="shared" si="3"/>
        <v>1.1043636792885902</v>
      </c>
      <c r="O38" t="s">
        <v>35</v>
      </c>
    </row>
    <row r="39" spans="1:15">
      <c r="A39">
        <v>165</v>
      </c>
      <c r="B39" t="s">
        <v>80</v>
      </c>
      <c r="D39">
        <v>3418</v>
      </c>
      <c r="E39" t="s">
        <v>80</v>
      </c>
      <c r="J39" s="9"/>
      <c r="K39" s="8">
        <f t="shared" si="2"/>
        <v>4.3976545842217485</v>
      </c>
      <c r="L39" t="s">
        <v>37</v>
      </c>
      <c r="M39" s="9"/>
      <c r="N39" s="8">
        <f t="shared" si="3"/>
        <v>4.4830345080859884</v>
      </c>
      <c r="O39" t="s">
        <v>37</v>
      </c>
    </row>
    <row r="40" spans="1:15">
      <c r="A40">
        <v>119</v>
      </c>
      <c r="B40" t="s">
        <v>81</v>
      </c>
      <c r="D40">
        <v>6940</v>
      </c>
      <c r="E40" t="s">
        <v>81</v>
      </c>
      <c r="J40" s="9"/>
      <c r="K40" s="8">
        <f t="shared" si="2"/>
        <v>3.1716417910447761</v>
      </c>
      <c r="L40" t="s">
        <v>39</v>
      </c>
      <c r="M40" s="9"/>
      <c r="N40" s="8">
        <f t="shared" si="3"/>
        <v>9.1024749813097596</v>
      </c>
      <c r="O40" t="s">
        <v>39</v>
      </c>
    </row>
    <row r="41" spans="1:15">
      <c r="A41">
        <v>657</v>
      </c>
      <c r="B41" t="s">
        <v>82</v>
      </c>
      <c r="D41">
        <v>1168</v>
      </c>
      <c r="E41" t="s">
        <v>82</v>
      </c>
      <c r="J41" s="9"/>
      <c r="K41" s="8">
        <f t="shared" si="2"/>
        <v>17.510660980810236</v>
      </c>
      <c r="L41" t="s">
        <v>41</v>
      </c>
      <c r="M41" s="9"/>
      <c r="N41" s="8">
        <f t="shared" si="3"/>
        <v>1.5319439161627952</v>
      </c>
      <c r="O41" t="s">
        <v>41</v>
      </c>
    </row>
    <row r="42" spans="1:15">
      <c r="A42">
        <v>88</v>
      </c>
      <c r="B42" t="s">
        <v>83</v>
      </c>
      <c r="D42">
        <v>2869</v>
      </c>
      <c r="E42" t="s">
        <v>83</v>
      </c>
      <c r="J42" s="9"/>
      <c r="K42" s="8">
        <f t="shared" si="2"/>
        <v>2.3454157782515992</v>
      </c>
      <c r="L42" t="s">
        <v>43</v>
      </c>
      <c r="M42" s="9"/>
      <c r="N42" s="8">
        <f t="shared" si="3"/>
        <v>3.7629684036567292</v>
      </c>
      <c r="O42" t="s">
        <v>43</v>
      </c>
    </row>
    <row r="43" spans="1:15">
      <c r="A43">
        <v>318</v>
      </c>
      <c r="B43" t="s">
        <v>84</v>
      </c>
      <c r="D43">
        <v>1957</v>
      </c>
      <c r="E43" t="s">
        <v>84</v>
      </c>
      <c r="J43" s="9"/>
      <c r="K43" s="8">
        <f t="shared" si="2"/>
        <v>8.4754797441364609</v>
      </c>
      <c r="L43" t="s">
        <v>45</v>
      </c>
      <c r="M43" s="9"/>
      <c r="N43" s="8">
        <f t="shared" si="3"/>
        <v>2.5667930170638615</v>
      </c>
      <c r="O43" t="s">
        <v>45</v>
      </c>
    </row>
    <row r="44" spans="1:15">
      <c r="A44">
        <v>386</v>
      </c>
      <c r="B44" t="s">
        <v>85</v>
      </c>
      <c r="D44">
        <v>3167</v>
      </c>
      <c r="E44" t="s">
        <v>85</v>
      </c>
      <c r="J44" s="9"/>
      <c r="K44" s="8">
        <f t="shared" si="2"/>
        <v>10.287846481876333</v>
      </c>
      <c r="L44" t="s">
        <v>47</v>
      </c>
      <c r="M44" s="9"/>
      <c r="N44" s="8">
        <f t="shared" si="3"/>
        <v>4.1538239576092231</v>
      </c>
      <c r="O44" t="s">
        <v>47</v>
      </c>
    </row>
    <row r="45" spans="1:15">
      <c r="A45">
        <v>56</v>
      </c>
      <c r="B45" t="s">
        <v>86</v>
      </c>
      <c r="D45">
        <v>100</v>
      </c>
      <c r="E45" t="s">
        <v>86</v>
      </c>
      <c r="J45" s="9"/>
      <c r="K45" s="8">
        <f t="shared" si="2"/>
        <v>1.4925373134328357</v>
      </c>
      <c r="L45" t="s">
        <v>49</v>
      </c>
      <c r="M45" s="9"/>
      <c r="N45" s="8">
        <f t="shared" si="3"/>
        <v>0.13115958186325302</v>
      </c>
      <c r="O45" t="s">
        <v>49</v>
      </c>
    </row>
    <row r="46" spans="1:15">
      <c r="A46">
        <v>73</v>
      </c>
      <c r="B46" t="s">
        <v>87</v>
      </c>
      <c r="D46">
        <v>1713</v>
      </c>
      <c r="E46" t="s">
        <v>87</v>
      </c>
      <c r="J46" s="9"/>
      <c r="K46" s="8">
        <f t="shared" si="2"/>
        <v>1.9456289978678039</v>
      </c>
      <c r="L46" t="s">
        <v>51</v>
      </c>
      <c r="M46" s="9"/>
      <c r="N46" s="8">
        <f t="shared" si="3"/>
        <v>2.2467636373175242</v>
      </c>
      <c r="O46" t="s">
        <v>51</v>
      </c>
    </row>
    <row r="47" spans="1:15">
      <c r="A47">
        <v>35</v>
      </c>
      <c r="B47" t="s">
        <v>88</v>
      </c>
      <c r="D47">
        <v>871</v>
      </c>
      <c r="E47" t="s">
        <v>88</v>
      </c>
      <c r="J47" s="9"/>
      <c r="K47" s="8">
        <f t="shared" si="2"/>
        <v>0.93283582089552231</v>
      </c>
      <c r="L47" t="s">
        <v>53</v>
      </c>
      <c r="M47" s="9"/>
      <c r="N47" s="8">
        <f t="shared" si="3"/>
        <v>1.1423999580289339</v>
      </c>
      <c r="O47" t="s">
        <v>53</v>
      </c>
    </row>
    <row r="48" spans="1:15">
      <c r="A48">
        <v>133</v>
      </c>
      <c r="B48" t="s">
        <v>89</v>
      </c>
      <c r="D48">
        <v>1455</v>
      </c>
      <c r="E48" t="s">
        <v>89</v>
      </c>
      <c r="J48" s="9"/>
      <c r="K48" s="8">
        <f t="shared" si="2"/>
        <v>3.544776119402985</v>
      </c>
      <c r="L48" t="s">
        <v>55</v>
      </c>
      <c r="M48" s="9"/>
      <c r="N48" s="8">
        <f t="shared" si="3"/>
        <v>1.9083719161103314</v>
      </c>
      <c r="O48" t="s">
        <v>55</v>
      </c>
    </row>
    <row r="49" spans="1:15">
      <c r="A49">
        <v>92</v>
      </c>
      <c r="B49" t="s">
        <v>90</v>
      </c>
      <c r="D49">
        <v>3413</v>
      </c>
      <c r="E49" t="s">
        <v>90</v>
      </c>
      <c r="J49" s="9"/>
      <c r="K49" s="8">
        <f t="shared" si="2"/>
        <v>2.4520255863539444</v>
      </c>
      <c r="L49" t="s">
        <v>57</v>
      </c>
      <c r="M49" s="9"/>
      <c r="N49" s="8">
        <f t="shared" si="3"/>
        <v>4.4764765289928254</v>
      </c>
      <c r="O49" t="s">
        <v>57</v>
      </c>
    </row>
    <row r="50" spans="1:15">
      <c r="A50">
        <v>35</v>
      </c>
      <c r="B50" t="s">
        <v>91</v>
      </c>
      <c r="D50">
        <v>469</v>
      </c>
      <c r="E50" t="s">
        <v>91</v>
      </c>
      <c r="J50" s="9"/>
      <c r="K50" s="8">
        <f t="shared" si="2"/>
        <v>0.93283582089552231</v>
      </c>
      <c r="L50" t="s">
        <v>59</v>
      </c>
      <c r="M50" s="9"/>
      <c r="N50" s="8">
        <f t="shared" si="3"/>
        <v>0.61513843893865661</v>
      </c>
      <c r="O50" t="s">
        <v>59</v>
      </c>
    </row>
    <row r="51" spans="1:15">
      <c r="A51">
        <v>65</v>
      </c>
      <c r="B51" t="s">
        <v>92</v>
      </c>
      <c r="D51">
        <v>4571</v>
      </c>
      <c r="E51" t="s">
        <v>92</v>
      </c>
      <c r="J51" s="9"/>
      <c r="K51" s="8">
        <f t="shared" si="2"/>
        <v>1.732409381663113</v>
      </c>
      <c r="L51" t="s">
        <v>92</v>
      </c>
      <c r="M51" s="9"/>
      <c r="N51" s="8">
        <f t="shared" si="3"/>
        <v>5.9953044869692951</v>
      </c>
      <c r="O51" t="s">
        <v>92</v>
      </c>
    </row>
    <row r="52" spans="1:15">
      <c r="A52">
        <v>7</v>
      </c>
      <c r="B52" t="s">
        <v>93</v>
      </c>
      <c r="D52">
        <v>708</v>
      </c>
      <c r="E52" t="s">
        <v>93</v>
      </c>
      <c r="J52" s="9"/>
      <c r="K52" s="8">
        <f t="shared" si="2"/>
        <v>0.18656716417910446</v>
      </c>
      <c r="L52" t="s">
        <v>11</v>
      </c>
      <c r="M52" s="9"/>
      <c r="N52" s="8">
        <f t="shared" si="3"/>
        <v>0.9286098395918313</v>
      </c>
      <c r="O52" t="s">
        <v>11</v>
      </c>
    </row>
    <row r="53" spans="1:15">
      <c r="A53">
        <v>20</v>
      </c>
      <c r="B53" t="s">
        <v>94</v>
      </c>
      <c r="D53">
        <v>550</v>
      </c>
      <c r="E53" t="s">
        <v>94</v>
      </c>
      <c r="J53" s="9"/>
      <c r="K53" s="8">
        <f t="shared" si="2"/>
        <v>0.53304904051172708</v>
      </c>
      <c r="L53" t="s">
        <v>14</v>
      </c>
      <c r="M53" s="9"/>
      <c r="N53" s="8">
        <f t="shared" si="3"/>
        <v>0.72137770024789161</v>
      </c>
      <c r="O53" t="s">
        <v>14</v>
      </c>
    </row>
    <row r="54" spans="1:15">
      <c r="A54">
        <v>8</v>
      </c>
      <c r="B54" t="s">
        <v>95</v>
      </c>
      <c r="D54">
        <v>198</v>
      </c>
      <c r="E54" t="s">
        <v>95</v>
      </c>
      <c r="J54" s="9"/>
      <c r="K54" s="8">
        <f t="shared" si="2"/>
        <v>0.21321961620469082</v>
      </c>
      <c r="L54" t="s">
        <v>17</v>
      </c>
      <c r="M54" s="9"/>
      <c r="N54" s="8">
        <f t="shared" si="3"/>
        <v>0.259695972089241</v>
      </c>
      <c r="O54" t="s">
        <v>17</v>
      </c>
    </row>
    <row r="55" spans="1:15">
      <c r="A55">
        <v>171</v>
      </c>
      <c r="B55" t="s">
        <v>96</v>
      </c>
      <c r="D55">
        <v>2054</v>
      </c>
      <c r="E55" t="s">
        <v>96</v>
      </c>
      <c r="J55" s="9"/>
      <c r="K55" s="8">
        <f t="shared" si="2"/>
        <v>4.5575692963752665</v>
      </c>
      <c r="L55" t="s">
        <v>20</v>
      </c>
      <c r="M55" s="9"/>
      <c r="N55" s="8">
        <f t="shared" si="3"/>
        <v>2.694017811471217</v>
      </c>
      <c r="O55" t="s">
        <v>20</v>
      </c>
    </row>
    <row r="56" spans="1:15">
      <c r="A56">
        <v>18</v>
      </c>
      <c r="B56" t="s">
        <v>97</v>
      </c>
      <c r="D56">
        <v>1909</v>
      </c>
      <c r="E56" t="s">
        <v>97</v>
      </c>
      <c r="J56" s="9"/>
      <c r="K56" s="8">
        <f t="shared" si="2"/>
        <v>0.47974413646055442</v>
      </c>
      <c r="L56" t="s">
        <v>23</v>
      </c>
      <c r="M56" s="9"/>
      <c r="N56" s="8">
        <f t="shared" si="3"/>
        <v>2.5038364177695001</v>
      </c>
      <c r="O56" t="s">
        <v>23</v>
      </c>
    </row>
    <row r="57" spans="1:15">
      <c r="A57">
        <v>8</v>
      </c>
      <c r="B57" t="s">
        <v>98</v>
      </c>
      <c r="D57">
        <v>1030</v>
      </c>
      <c r="E57" t="s">
        <v>98</v>
      </c>
      <c r="J57" s="9"/>
      <c r="K57" s="8">
        <f t="shared" si="2"/>
        <v>0.21321961620469082</v>
      </c>
      <c r="L57" t="s">
        <v>26</v>
      </c>
      <c r="M57" s="9"/>
      <c r="N57" s="8">
        <f t="shared" si="3"/>
        <v>1.350943693191506</v>
      </c>
      <c r="O57" t="s">
        <v>26</v>
      </c>
    </row>
    <row r="58" spans="1:15">
      <c r="A58">
        <v>10</v>
      </c>
      <c r="B58" t="s">
        <v>99</v>
      </c>
      <c r="D58">
        <v>412</v>
      </c>
      <c r="E58" t="s">
        <v>99</v>
      </c>
      <c r="J58" s="9"/>
      <c r="K58" s="8">
        <f t="shared" si="2"/>
        <v>0.26652452025586354</v>
      </c>
      <c r="L58" t="s">
        <v>35</v>
      </c>
      <c r="M58" s="9"/>
      <c r="N58" s="8">
        <f t="shared" si="3"/>
        <v>0.54037747727660235</v>
      </c>
      <c r="O58" t="s">
        <v>35</v>
      </c>
    </row>
    <row r="59" spans="1:15">
      <c r="A59">
        <v>41</v>
      </c>
      <c r="B59" t="s">
        <v>100</v>
      </c>
      <c r="D59">
        <v>2076</v>
      </c>
      <c r="E59" t="s">
        <v>100</v>
      </c>
      <c r="J59" s="9"/>
      <c r="K59" s="8">
        <f t="shared" si="2"/>
        <v>1.0927505330490406</v>
      </c>
      <c r="L59" t="s">
        <v>37</v>
      </c>
      <c r="M59" s="9"/>
      <c r="N59" s="8">
        <f t="shared" si="3"/>
        <v>2.7228729194811327</v>
      </c>
      <c r="O59" t="s">
        <v>37</v>
      </c>
    </row>
    <row r="60" spans="1:15">
      <c r="A60">
        <v>3</v>
      </c>
      <c r="B60" t="s">
        <v>101</v>
      </c>
      <c r="D60">
        <v>12</v>
      </c>
      <c r="E60" t="s">
        <v>101</v>
      </c>
      <c r="J60" s="9"/>
      <c r="K60" s="8">
        <f t="shared" si="2"/>
        <v>7.9957356076759065E-2</v>
      </c>
      <c r="L60" t="s">
        <v>102</v>
      </c>
      <c r="M60" s="9"/>
      <c r="N60" s="8">
        <f t="shared" si="3"/>
        <v>1.5739149823590363E-2</v>
      </c>
      <c r="O60" t="s">
        <v>102</v>
      </c>
    </row>
    <row r="61" spans="1:15">
      <c r="A61">
        <v>18</v>
      </c>
      <c r="B61" t="s">
        <v>103</v>
      </c>
      <c r="D61">
        <v>3351</v>
      </c>
      <c r="E61" t="s">
        <v>103</v>
      </c>
      <c r="J61" s="9"/>
      <c r="K61" s="8">
        <f t="shared" si="2"/>
        <v>0.47974413646055442</v>
      </c>
      <c r="L61" t="s">
        <v>39</v>
      </c>
      <c r="M61" s="9"/>
      <c r="N61" s="8">
        <f t="shared" si="3"/>
        <v>4.395157588237609</v>
      </c>
      <c r="O61" t="s">
        <v>39</v>
      </c>
    </row>
    <row r="62" spans="1:15">
      <c r="A62">
        <v>17</v>
      </c>
      <c r="B62" t="s">
        <v>104</v>
      </c>
      <c r="D62">
        <v>2660</v>
      </c>
      <c r="E62" t="s">
        <v>104</v>
      </c>
      <c r="J62" s="9"/>
      <c r="K62" s="8">
        <f t="shared" si="2"/>
        <v>0.453091684434968</v>
      </c>
      <c r="L62" t="s">
        <v>41</v>
      </c>
      <c r="M62" s="9"/>
      <c r="N62" s="8">
        <f t="shared" si="3"/>
        <v>3.4888448775625305</v>
      </c>
      <c r="O62" t="s">
        <v>41</v>
      </c>
    </row>
    <row r="63" spans="1:15">
      <c r="A63">
        <v>90</v>
      </c>
      <c r="B63" t="s">
        <v>105</v>
      </c>
      <c r="D63">
        <v>2352</v>
      </c>
      <c r="E63" t="s">
        <v>105</v>
      </c>
      <c r="J63" s="9"/>
      <c r="K63" s="8">
        <f t="shared" si="2"/>
        <v>2.398720682302772</v>
      </c>
      <c r="L63" t="s">
        <v>43</v>
      </c>
      <c r="M63" s="9"/>
      <c r="N63" s="8">
        <f t="shared" si="3"/>
        <v>3.0848733654237108</v>
      </c>
      <c r="O63" t="s">
        <v>43</v>
      </c>
    </row>
    <row r="64" spans="1:15">
      <c r="A64">
        <v>22</v>
      </c>
      <c r="B64" t="s">
        <v>106</v>
      </c>
      <c r="D64">
        <v>578</v>
      </c>
      <c r="E64" t="s">
        <v>106</v>
      </c>
      <c r="J64" s="9"/>
      <c r="K64" s="8">
        <f t="shared" si="2"/>
        <v>0.5863539445628998</v>
      </c>
      <c r="L64" t="s">
        <v>45</v>
      </c>
      <c r="M64" s="9"/>
      <c r="N64" s="8">
        <f t="shared" si="3"/>
        <v>0.75810238316960243</v>
      </c>
      <c r="O64" t="s">
        <v>45</v>
      </c>
    </row>
    <row r="65" spans="1:15">
      <c r="A65">
        <v>87</v>
      </c>
      <c r="B65" t="s">
        <v>107</v>
      </c>
      <c r="D65">
        <v>4860</v>
      </c>
      <c r="E65" t="s">
        <v>107</v>
      </c>
      <c r="J65" s="9"/>
      <c r="K65" s="8">
        <f t="shared" si="2"/>
        <v>2.318763326226013</v>
      </c>
      <c r="L65" t="s">
        <v>47</v>
      </c>
      <c r="M65" s="9"/>
      <c r="N65" s="8">
        <f t="shared" si="3"/>
        <v>6.3743556785540969</v>
      </c>
      <c r="O65" t="s">
        <v>47</v>
      </c>
    </row>
    <row r="66" spans="1:15">
      <c r="A66">
        <v>9</v>
      </c>
      <c r="B66" t="s">
        <v>108</v>
      </c>
      <c r="D66">
        <v>648</v>
      </c>
      <c r="E66" t="s">
        <v>108</v>
      </c>
      <c r="J66" s="9"/>
      <c r="K66" s="8">
        <f t="shared" si="2"/>
        <v>0.23987206823027721</v>
      </c>
      <c r="L66" t="s">
        <v>49</v>
      </c>
      <c r="M66" s="9"/>
      <c r="N66" s="8">
        <f t="shared" si="3"/>
        <v>0.84991409047387967</v>
      </c>
      <c r="O66" t="s">
        <v>49</v>
      </c>
    </row>
    <row r="67" spans="1:15">
      <c r="A67">
        <v>8</v>
      </c>
      <c r="B67" t="s">
        <v>109</v>
      </c>
      <c r="D67">
        <v>823</v>
      </c>
      <c r="E67" t="s">
        <v>109</v>
      </c>
      <c r="J67" s="9"/>
      <c r="K67" s="8">
        <f t="shared" si="2"/>
        <v>0.21321961620469082</v>
      </c>
      <c r="L67" t="s">
        <v>51</v>
      </c>
      <c r="M67" s="9"/>
      <c r="N67" s="8">
        <f t="shared" si="3"/>
        <v>1.0794433587345724</v>
      </c>
      <c r="O67" t="s">
        <v>51</v>
      </c>
    </row>
    <row r="68" spans="1:15">
      <c r="A68">
        <v>44</v>
      </c>
      <c r="B68" t="s">
        <v>110</v>
      </c>
      <c r="D68">
        <v>886</v>
      </c>
      <c r="E68" t="s">
        <v>110</v>
      </c>
      <c r="J68" s="9"/>
      <c r="K68" s="8">
        <f t="shared" si="2"/>
        <v>1.1727078891257996</v>
      </c>
      <c r="L68" t="s">
        <v>53</v>
      </c>
      <c r="M68" s="9"/>
      <c r="N68" s="8">
        <f t="shared" si="3"/>
        <v>1.1620738953084218</v>
      </c>
      <c r="O68" t="s">
        <v>53</v>
      </c>
    </row>
    <row r="69" spans="1:15">
      <c r="A69">
        <v>18</v>
      </c>
      <c r="B69" t="s">
        <v>111</v>
      </c>
      <c r="D69">
        <v>87</v>
      </c>
      <c r="E69" t="s">
        <v>111</v>
      </c>
      <c r="J69" s="9"/>
      <c r="K69" s="8">
        <f t="shared" si="2"/>
        <v>0.47974413646055442</v>
      </c>
      <c r="L69" t="s">
        <v>55</v>
      </c>
      <c r="M69" s="9"/>
      <c r="N69" s="8">
        <f t="shared" si="3"/>
        <v>0.11410883622103012</v>
      </c>
      <c r="O69" t="s">
        <v>55</v>
      </c>
    </row>
    <row r="70" spans="1:15">
      <c r="A70">
        <v>20</v>
      </c>
      <c r="B70" t="s">
        <v>112</v>
      </c>
      <c r="D70">
        <v>4076</v>
      </c>
      <c r="E70" t="s">
        <v>112</v>
      </c>
      <c r="J70" s="9"/>
      <c r="K70" s="8">
        <f t="shared" si="2"/>
        <v>0.53304904051172708</v>
      </c>
      <c r="L70" t="s">
        <v>57</v>
      </c>
      <c r="M70" s="9"/>
      <c r="N70" s="8">
        <f t="shared" si="3"/>
        <v>5.3460645567461933</v>
      </c>
      <c r="O70" t="s">
        <v>57</v>
      </c>
    </row>
    <row r="71" spans="1:15">
      <c r="A71">
        <v>6</v>
      </c>
      <c r="B71" t="s">
        <v>113</v>
      </c>
      <c r="D71">
        <v>700</v>
      </c>
      <c r="E71" t="s">
        <v>113</v>
      </c>
      <c r="J71" s="9"/>
      <c r="K71" s="8">
        <f t="shared" si="2"/>
        <v>0.15991471215351813</v>
      </c>
      <c r="L71" t="s">
        <v>59</v>
      </c>
      <c r="M71" s="9"/>
      <c r="N71" s="8">
        <f t="shared" si="3"/>
        <v>0.91811707304277124</v>
      </c>
      <c r="O71" t="s">
        <v>59</v>
      </c>
    </row>
    <row r="72" spans="1:15">
      <c r="A72">
        <v>21</v>
      </c>
      <c r="B72" t="s">
        <v>114</v>
      </c>
      <c r="D72">
        <v>2821</v>
      </c>
      <c r="E72" t="s">
        <v>114</v>
      </c>
      <c r="J72" s="9"/>
      <c r="K72" s="8">
        <f t="shared" si="2"/>
        <v>0.55970149253731338</v>
      </c>
      <c r="L72" t="s">
        <v>115</v>
      </c>
      <c r="M72" s="9"/>
      <c r="N72" s="8">
        <f t="shared" si="3"/>
        <v>3.7000118043623678</v>
      </c>
      <c r="O72" t="s">
        <v>115</v>
      </c>
    </row>
    <row r="73" spans="1:15">
      <c r="A73">
        <v>44</v>
      </c>
      <c r="B73" t="s">
        <v>116</v>
      </c>
      <c r="D73">
        <v>183</v>
      </c>
      <c r="E73" t="s">
        <v>116</v>
      </c>
      <c r="J73" s="9"/>
      <c r="K73" s="8">
        <f t="shared" si="2"/>
        <v>1.1727078891257996</v>
      </c>
      <c r="L73" t="s">
        <v>116</v>
      </c>
      <c r="M73" s="9"/>
      <c r="N73" s="8">
        <f t="shared" si="3"/>
        <v>0.24002203480975301</v>
      </c>
      <c r="O73" t="s">
        <v>116</v>
      </c>
    </row>
  </sheetData>
  <mergeCells count="8">
    <mergeCell ref="A1:B1"/>
    <mergeCell ref="D1:E1"/>
    <mergeCell ref="J2:J28"/>
    <mergeCell ref="J1:L1"/>
    <mergeCell ref="M2:M28"/>
    <mergeCell ref="M1:O1"/>
    <mergeCell ref="J29:J73"/>
    <mergeCell ref="M29:M7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57676-0B26-4C74-A19A-06D1A787803B}">
  <dimension ref="A1:E57"/>
  <sheetViews>
    <sheetView topLeftCell="A43" workbookViewId="0">
      <selection activeCell="T65" sqref="T65"/>
    </sheetView>
  </sheetViews>
  <sheetFormatPr defaultRowHeight="15.75"/>
  <cols>
    <col min="3" max="3" width="10" bestFit="1" customWidth="1"/>
  </cols>
  <sheetData>
    <row r="1" spans="1:5">
      <c r="A1" s="10" t="s">
        <v>2</v>
      </c>
      <c r="B1" s="10"/>
      <c r="D1" s="10" t="s">
        <v>3</v>
      </c>
      <c r="E1" s="10"/>
    </row>
    <row r="2" spans="1:5">
      <c r="A2" t="s">
        <v>5</v>
      </c>
      <c r="B2" t="s">
        <v>8</v>
      </c>
      <c r="D2" t="s">
        <v>5</v>
      </c>
      <c r="E2" t="s">
        <v>8</v>
      </c>
    </row>
    <row r="3" spans="1:5">
      <c r="A3" t="s">
        <v>11</v>
      </c>
      <c r="B3" s="8">
        <v>2.4409354345660077</v>
      </c>
      <c r="D3" t="s">
        <v>11</v>
      </c>
      <c r="E3" s="8">
        <v>1.1226705655880029</v>
      </c>
    </row>
    <row r="4" spans="1:5">
      <c r="A4" t="s">
        <v>14</v>
      </c>
      <c r="B4" s="8">
        <v>1.5763418311189012</v>
      </c>
      <c r="D4" t="s">
        <v>14</v>
      </c>
      <c r="E4" s="8">
        <v>1.2307919135695067</v>
      </c>
    </row>
    <row r="5" spans="1:5">
      <c r="A5" t="s">
        <v>17</v>
      </c>
      <c r="B5" s="8">
        <v>2.0309133684929863</v>
      </c>
      <c r="D5" t="s">
        <v>17</v>
      </c>
      <c r="E5" s="8">
        <v>1.6894356961362076</v>
      </c>
    </row>
    <row r="6" spans="1:5">
      <c r="A6" t="s">
        <v>20</v>
      </c>
      <c r="B6" s="8">
        <v>2.3763543508766438</v>
      </c>
      <c r="D6" t="s">
        <v>20</v>
      </c>
      <c r="E6" s="8">
        <v>2.1550154156152117</v>
      </c>
    </row>
    <row r="7" spans="1:5">
      <c r="A7" t="s">
        <v>23</v>
      </c>
      <c r="B7" s="8">
        <v>2.9047924589325862</v>
      </c>
      <c r="D7" t="s">
        <v>23</v>
      </c>
      <c r="E7" s="8">
        <v>2.0848237340627032</v>
      </c>
    </row>
    <row r="8" spans="1:5">
      <c r="A8" t="s">
        <v>26</v>
      </c>
      <c r="B8" s="8">
        <v>1.510926096913358</v>
      </c>
      <c r="D8" t="s">
        <v>26</v>
      </c>
      <c r="E8" s="8">
        <v>1.2028103623690147</v>
      </c>
    </row>
    <row r="9" spans="1:5">
      <c r="A9" t="s">
        <v>29</v>
      </c>
      <c r="B9" s="8">
        <v>2.9580014293390087</v>
      </c>
      <c r="D9" t="s">
        <v>29</v>
      </c>
      <c r="E9" s="8">
        <v>2.1802225920507823</v>
      </c>
    </row>
    <row r="10" spans="1:5">
      <c r="A10" t="s">
        <v>32</v>
      </c>
      <c r="B10" s="8">
        <v>0.49171348534405857</v>
      </c>
      <c r="D10" t="s">
        <v>32</v>
      </c>
      <c r="E10" s="8">
        <v>0.42868053510555104</v>
      </c>
    </row>
    <row r="11" spans="1:5">
      <c r="A11" t="s">
        <v>35</v>
      </c>
      <c r="B11" s="8">
        <v>2.7809511885945009</v>
      </c>
      <c r="D11" t="s">
        <v>35</v>
      </c>
      <c r="E11" s="8">
        <v>3.3803378475053019</v>
      </c>
    </row>
    <row r="12" spans="1:5">
      <c r="A12" t="s">
        <v>37</v>
      </c>
      <c r="B12" s="8">
        <v>3.9968283280385193</v>
      </c>
      <c r="D12" t="s">
        <v>37</v>
      </c>
      <c r="E12" s="8">
        <v>5.5811700806669275</v>
      </c>
    </row>
    <row r="13" spans="1:5">
      <c r="A13" t="s">
        <v>39</v>
      </c>
      <c r="B13" s="8">
        <v>1.6893326447466575</v>
      </c>
      <c r="D13" t="s">
        <v>39</v>
      </c>
      <c r="E13" s="8">
        <v>1.4231353526289778</v>
      </c>
    </row>
    <row r="14" spans="1:5">
      <c r="A14" t="s">
        <v>41</v>
      </c>
      <c r="B14" s="8">
        <v>2.0251751461942544</v>
      </c>
      <c r="D14" t="s">
        <v>41</v>
      </c>
      <c r="E14" s="8">
        <v>1.7802766527247729</v>
      </c>
    </row>
    <row r="15" spans="1:5">
      <c r="A15" t="s">
        <v>43</v>
      </c>
      <c r="B15" s="8">
        <v>1.9192788619540213</v>
      </c>
      <c r="D15" t="s">
        <v>43</v>
      </c>
      <c r="E15" s="8">
        <v>1.5718022061035453</v>
      </c>
    </row>
    <row r="16" spans="1:5">
      <c r="A16" t="s">
        <v>45</v>
      </c>
      <c r="B16" s="8">
        <v>4.7176533800737621</v>
      </c>
      <c r="D16" t="s">
        <v>45</v>
      </c>
      <c r="E16" s="8">
        <v>4.1771779139159069</v>
      </c>
    </row>
    <row r="17" spans="1:5">
      <c r="A17" t="s">
        <v>47</v>
      </c>
      <c r="B17" s="8">
        <v>2.3574703829480899</v>
      </c>
      <c r="D17" t="s">
        <v>47</v>
      </c>
      <c r="E17" s="8">
        <v>2.5741838086696043</v>
      </c>
    </row>
    <row r="18" spans="1:5">
      <c r="A18" t="s">
        <v>49</v>
      </c>
      <c r="B18" s="8">
        <v>2.0564745405509735</v>
      </c>
      <c r="D18" t="s">
        <v>49</v>
      </c>
      <c r="E18" s="8">
        <v>1.1252864046520716</v>
      </c>
    </row>
    <row r="19" spans="1:5">
      <c r="A19" t="s">
        <v>51</v>
      </c>
      <c r="B19" s="8">
        <v>2.2604422604422605</v>
      </c>
      <c r="D19" t="s">
        <v>51</v>
      </c>
      <c r="E19" s="8">
        <v>1.9929919293438088</v>
      </c>
    </row>
    <row r="20" spans="1:5">
      <c r="A20" t="s">
        <v>53</v>
      </c>
      <c r="B20" s="8">
        <v>1.6063892497013517</v>
      </c>
      <c r="D20" t="s">
        <v>53</v>
      </c>
      <c r="E20" s="8">
        <v>0.69371259300595978</v>
      </c>
    </row>
    <row r="21" spans="1:5">
      <c r="A21" t="s">
        <v>55</v>
      </c>
      <c r="B21" s="8">
        <v>2.5988930447529173</v>
      </c>
      <c r="D21" t="s">
        <v>55</v>
      </c>
      <c r="E21" s="8">
        <v>1.7983497226219745</v>
      </c>
    </row>
    <row r="22" spans="1:5">
      <c r="A22" t="s">
        <v>57</v>
      </c>
      <c r="B22" s="8">
        <v>2.8599299936879556</v>
      </c>
      <c r="D22" t="s">
        <v>57</v>
      </c>
      <c r="E22" s="8">
        <v>3.0530012591698039</v>
      </c>
    </row>
    <row r="23" spans="1:5">
      <c r="A23" t="s">
        <v>59</v>
      </c>
      <c r="B23" s="8">
        <v>2.0321653442672551</v>
      </c>
      <c r="D23" t="s">
        <v>59</v>
      </c>
      <c r="E23" s="8">
        <v>1.5074763454825846</v>
      </c>
    </row>
    <row r="24" spans="1:5">
      <c r="A24" t="s">
        <v>61</v>
      </c>
      <c r="B24" s="8">
        <v>2.9410997563863805</v>
      </c>
      <c r="D24" t="s">
        <v>61</v>
      </c>
      <c r="E24" s="8">
        <v>10.110059446924428</v>
      </c>
    </row>
    <row r="25" spans="1:5">
      <c r="A25" t="s">
        <v>63</v>
      </c>
      <c r="B25" s="8">
        <v>46.943666306723628</v>
      </c>
      <c r="D25" t="s">
        <v>63</v>
      </c>
      <c r="E25" s="8">
        <v>44.85002720868966</v>
      </c>
    </row>
    <row r="26" spans="1:5">
      <c r="A26" t="s">
        <v>65</v>
      </c>
      <c r="B26" s="8">
        <v>0.92427111535391782</v>
      </c>
      <c r="D26" t="s">
        <v>65</v>
      </c>
      <c r="E26" s="8">
        <v>2.2865604133976936</v>
      </c>
    </row>
    <row r="27" spans="1:5">
      <c r="A27" t="s">
        <v>66</v>
      </c>
      <c r="B27" s="8">
        <v>1.2624089057210078E-2</v>
      </c>
      <c r="D27" t="s">
        <v>66</v>
      </c>
      <c r="E27" s="8">
        <v>7.0310583328147894E-2</v>
      </c>
    </row>
    <row r="28" spans="1:5">
      <c r="A28" t="s">
        <v>67</v>
      </c>
      <c r="B28" s="8">
        <v>1.3771733516956448E-2</v>
      </c>
      <c r="D28" t="s">
        <v>67</v>
      </c>
      <c r="E28" s="8">
        <v>3.0002881386362996E-2</v>
      </c>
    </row>
    <row r="31" spans="1:5">
      <c r="A31" t="s">
        <v>5</v>
      </c>
      <c r="B31" t="s">
        <v>117</v>
      </c>
      <c r="C31" t="s">
        <v>118</v>
      </c>
    </row>
    <row r="32" spans="1:5">
      <c r="A32" t="s">
        <v>11</v>
      </c>
      <c r="B32" s="8">
        <v>2.4409354345660077</v>
      </c>
      <c r="C32" s="8">
        <v>1.1226705655880029</v>
      </c>
    </row>
    <row r="33" spans="1:3">
      <c r="A33" t="s">
        <v>14</v>
      </c>
      <c r="B33" s="8">
        <v>1.5763418311189012</v>
      </c>
      <c r="C33" s="8">
        <v>1.2307919135695067</v>
      </c>
    </row>
    <row r="34" spans="1:3">
      <c r="A34" t="s">
        <v>17</v>
      </c>
      <c r="B34" s="8">
        <v>2.0309133684929863</v>
      </c>
      <c r="C34" s="8">
        <v>1.6894356961362076</v>
      </c>
    </row>
    <row r="35" spans="1:3">
      <c r="A35" t="s">
        <v>20</v>
      </c>
      <c r="B35" s="8">
        <v>2.3763543508766438</v>
      </c>
      <c r="C35" s="8">
        <v>2.1550154156152117</v>
      </c>
    </row>
    <row r="36" spans="1:3">
      <c r="A36" t="s">
        <v>23</v>
      </c>
      <c r="B36" s="8">
        <v>2.9047924589325862</v>
      </c>
      <c r="C36" s="8">
        <v>2.0848237340627032</v>
      </c>
    </row>
    <row r="37" spans="1:3">
      <c r="A37" t="s">
        <v>26</v>
      </c>
      <c r="B37" s="8">
        <v>1.510926096913358</v>
      </c>
      <c r="C37" s="8">
        <v>1.2028103623690147</v>
      </c>
    </row>
    <row r="38" spans="1:3">
      <c r="A38" t="s">
        <v>29</v>
      </c>
      <c r="B38" s="8">
        <v>2.9580014293390087</v>
      </c>
      <c r="C38" s="8">
        <v>2.1802225920507823</v>
      </c>
    </row>
    <row r="39" spans="1:3">
      <c r="A39" t="s">
        <v>32</v>
      </c>
      <c r="B39" s="8">
        <v>0.49171348534405857</v>
      </c>
      <c r="C39" s="8">
        <v>0.42868053510555104</v>
      </c>
    </row>
    <row r="40" spans="1:3">
      <c r="A40" t="s">
        <v>35</v>
      </c>
      <c r="B40" s="8">
        <v>2.7809511885945009</v>
      </c>
      <c r="C40" s="8">
        <v>3.3803378475053019</v>
      </c>
    </row>
    <row r="41" spans="1:3">
      <c r="A41" t="s">
        <v>37</v>
      </c>
      <c r="B41" s="8">
        <v>3.9968283280385193</v>
      </c>
      <c r="C41" s="8">
        <v>5.5811700806669275</v>
      </c>
    </row>
    <row r="42" spans="1:3">
      <c r="A42" t="s">
        <v>39</v>
      </c>
      <c r="B42" s="8">
        <v>1.6893326447466575</v>
      </c>
      <c r="C42" s="8">
        <v>1.4231353526289778</v>
      </c>
    </row>
    <row r="43" spans="1:3">
      <c r="A43" t="s">
        <v>41</v>
      </c>
      <c r="B43" s="8">
        <v>2.0251751461942544</v>
      </c>
      <c r="C43" s="8">
        <v>1.7802766527247729</v>
      </c>
    </row>
    <row r="44" spans="1:3">
      <c r="A44" t="s">
        <v>43</v>
      </c>
      <c r="B44" s="8">
        <v>1.9192788619540213</v>
      </c>
      <c r="C44" s="8">
        <v>1.5718022061035453</v>
      </c>
    </row>
    <row r="45" spans="1:3">
      <c r="A45" t="s">
        <v>45</v>
      </c>
      <c r="B45" s="8">
        <v>4.7176533800737621</v>
      </c>
      <c r="C45" s="8">
        <v>4.1771779139159069</v>
      </c>
    </row>
    <row r="46" spans="1:3">
      <c r="A46" t="s">
        <v>47</v>
      </c>
      <c r="B46" s="8">
        <v>2.3574703829480899</v>
      </c>
      <c r="C46" s="8">
        <v>2.5741838086696043</v>
      </c>
    </row>
    <row r="47" spans="1:3">
      <c r="A47" t="s">
        <v>49</v>
      </c>
      <c r="B47" s="8">
        <v>2.0564745405509735</v>
      </c>
      <c r="C47" s="8">
        <v>1.1252864046520716</v>
      </c>
    </row>
    <row r="48" spans="1:3">
      <c r="A48" t="s">
        <v>51</v>
      </c>
      <c r="B48" s="8">
        <v>2.2604422604422605</v>
      </c>
      <c r="C48" s="8">
        <v>1.9929919293438088</v>
      </c>
    </row>
    <row r="49" spans="1:3">
      <c r="A49" t="s">
        <v>53</v>
      </c>
      <c r="B49" s="8">
        <v>1.6063892497013517</v>
      </c>
      <c r="C49" s="8">
        <v>0.69371259300595978</v>
      </c>
    </row>
    <row r="50" spans="1:3">
      <c r="A50" t="s">
        <v>55</v>
      </c>
      <c r="B50" s="8">
        <v>2.5988930447529173</v>
      </c>
      <c r="C50" s="8">
        <v>1.7983497226219745</v>
      </c>
    </row>
    <row r="51" spans="1:3">
      <c r="A51" t="s">
        <v>57</v>
      </c>
      <c r="B51" s="8">
        <v>2.8599299936879556</v>
      </c>
      <c r="C51" s="8">
        <v>3.0530012591698039</v>
      </c>
    </row>
    <row r="52" spans="1:3">
      <c r="A52" t="s">
        <v>59</v>
      </c>
      <c r="B52" s="8">
        <v>2.0321653442672551</v>
      </c>
      <c r="C52" s="8">
        <v>1.5074763454825846</v>
      </c>
    </row>
    <row r="53" spans="1:3">
      <c r="A53" t="s">
        <v>61</v>
      </c>
      <c r="B53" s="8">
        <v>2.9410997563863805</v>
      </c>
      <c r="C53" s="8">
        <v>10.110059446924428</v>
      </c>
    </row>
    <row r="54" spans="1:3">
      <c r="A54" t="s">
        <v>63</v>
      </c>
      <c r="B54" s="8">
        <v>46.943666306723628</v>
      </c>
      <c r="C54" s="8">
        <v>44.85002720868966</v>
      </c>
    </row>
    <row r="55" spans="1:3">
      <c r="A55" t="s">
        <v>65</v>
      </c>
      <c r="B55" s="8">
        <v>0.92427111535391782</v>
      </c>
      <c r="C55" s="8">
        <v>2.2865604133976936</v>
      </c>
    </row>
    <row r="56" spans="1:3">
      <c r="A56" t="s">
        <v>66</v>
      </c>
      <c r="B56" s="8">
        <v>1.2624089057210078E-2</v>
      </c>
      <c r="C56" s="8">
        <v>7.0310583328147894E-2</v>
      </c>
    </row>
    <row r="57" spans="1:3">
      <c r="A57" t="s">
        <v>67</v>
      </c>
      <c r="B57" s="8">
        <v>1.3771733516956448E-2</v>
      </c>
      <c r="C57" s="8">
        <v>3.0002881386362996E-2</v>
      </c>
    </row>
  </sheetData>
  <mergeCells count="2">
    <mergeCell ref="A1:B1"/>
    <mergeCell ref="D1:E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9AEAA-992A-4551-873F-155C5A813AC0}">
  <dimension ref="A1:D58"/>
  <sheetViews>
    <sheetView topLeftCell="A38" workbookViewId="0">
      <selection activeCell="H46" sqref="H46"/>
    </sheetView>
  </sheetViews>
  <sheetFormatPr defaultRowHeight="15.75"/>
  <sheetData>
    <row r="1" spans="1:4">
      <c r="A1" s="10" t="s">
        <v>2</v>
      </c>
      <c r="B1" s="10"/>
      <c r="C1" s="10" t="s">
        <v>3</v>
      </c>
      <c r="D1" s="10"/>
    </row>
    <row r="2" spans="1:4">
      <c r="A2" t="s">
        <v>5</v>
      </c>
      <c r="B2" t="s">
        <v>8</v>
      </c>
      <c r="C2" t="s">
        <v>5</v>
      </c>
      <c r="D2" t="s">
        <v>8</v>
      </c>
    </row>
    <row r="3" spans="1:4">
      <c r="A3" t="s">
        <v>11</v>
      </c>
      <c r="B3" s="8">
        <v>3.4381663113006398</v>
      </c>
      <c r="C3" t="s">
        <v>11</v>
      </c>
      <c r="D3" s="8">
        <v>1.7955746757079338</v>
      </c>
    </row>
    <row r="4" spans="1:4">
      <c r="A4" t="s">
        <v>14</v>
      </c>
      <c r="B4" s="8">
        <v>2.6119402985074625</v>
      </c>
      <c r="C4" t="s">
        <v>14</v>
      </c>
      <c r="D4" s="8">
        <v>0.17575383969675903</v>
      </c>
    </row>
    <row r="5" spans="1:4">
      <c r="A5" t="s">
        <v>17</v>
      </c>
      <c r="B5" s="8">
        <v>1.7590618336886994</v>
      </c>
      <c r="C5" t="s">
        <v>17</v>
      </c>
      <c r="D5" s="8">
        <v>0.46037013234001806</v>
      </c>
    </row>
    <row r="6" spans="1:4">
      <c r="A6" t="s">
        <v>20</v>
      </c>
      <c r="B6" s="8">
        <v>2.2654584221748397</v>
      </c>
      <c r="C6" t="s">
        <v>20</v>
      </c>
      <c r="D6" s="8">
        <v>3.1556995396298677</v>
      </c>
    </row>
    <row r="7" spans="1:4">
      <c r="A7" t="s">
        <v>23</v>
      </c>
      <c r="B7" s="8">
        <v>1.652452025586354</v>
      </c>
      <c r="C7" t="s">
        <v>23</v>
      </c>
      <c r="D7" s="8">
        <v>2.2808651286019699</v>
      </c>
    </row>
    <row r="8" spans="1:4">
      <c r="A8" t="s">
        <v>75</v>
      </c>
      <c r="B8" s="8">
        <v>5.3304904051172705E-2</v>
      </c>
      <c r="C8" t="s">
        <v>75</v>
      </c>
      <c r="D8" s="8">
        <v>1.8362341460855421E-2</v>
      </c>
    </row>
    <row r="9" spans="1:4">
      <c r="A9" t="s">
        <v>26</v>
      </c>
      <c r="B9" s="8">
        <v>0.66631130063965882</v>
      </c>
      <c r="C9" t="s">
        <v>26</v>
      </c>
      <c r="D9" s="8">
        <v>0.87745760266516259</v>
      </c>
    </row>
    <row r="10" spans="1:4">
      <c r="A10" t="s">
        <v>29</v>
      </c>
      <c r="B10" s="8">
        <v>1.4658848614072495</v>
      </c>
      <c r="C10" t="s">
        <v>29</v>
      </c>
      <c r="D10" s="8">
        <v>4.7230565428957414</v>
      </c>
    </row>
    <row r="11" spans="1:4">
      <c r="A11" t="s">
        <v>32</v>
      </c>
      <c r="B11" s="8">
        <v>1.8656716417910446</v>
      </c>
      <c r="C11" t="s">
        <v>32</v>
      </c>
      <c r="D11" s="8">
        <v>4.3282662014873498E-2</v>
      </c>
    </row>
    <row r="12" spans="1:4">
      <c r="A12" t="s">
        <v>35</v>
      </c>
      <c r="B12" s="8">
        <v>6.6098081023454158</v>
      </c>
      <c r="C12" t="s">
        <v>35</v>
      </c>
      <c r="D12" s="8">
        <v>1.1043636792885902</v>
      </c>
    </row>
    <row r="13" spans="1:4">
      <c r="A13" t="s">
        <v>37</v>
      </c>
      <c r="B13" s="8">
        <v>4.3976545842217485</v>
      </c>
      <c r="C13" t="s">
        <v>37</v>
      </c>
      <c r="D13" s="8">
        <v>4.4830345080859884</v>
      </c>
    </row>
    <row r="14" spans="1:4">
      <c r="A14" t="s">
        <v>39</v>
      </c>
      <c r="B14" s="8">
        <v>3.1716417910447761</v>
      </c>
      <c r="C14" t="s">
        <v>39</v>
      </c>
      <c r="D14" s="8">
        <v>9.1024749813097596</v>
      </c>
    </row>
    <row r="15" spans="1:4">
      <c r="A15" t="s">
        <v>41</v>
      </c>
      <c r="B15" s="8">
        <v>17.510660980810236</v>
      </c>
      <c r="C15" t="s">
        <v>41</v>
      </c>
      <c r="D15" s="8">
        <v>1.5319439161627952</v>
      </c>
    </row>
    <row r="16" spans="1:4">
      <c r="A16" t="s">
        <v>43</v>
      </c>
      <c r="B16" s="8">
        <v>2.3454157782515992</v>
      </c>
      <c r="C16" t="s">
        <v>43</v>
      </c>
      <c r="D16" s="8">
        <v>3.7629684036567292</v>
      </c>
    </row>
    <row r="17" spans="1:4">
      <c r="A17" t="s">
        <v>45</v>
      </c>
      <c r="B17" s="8">
        <v>8.4754797441364609</v>
      </c>
      <c r="C17" t="s">
        <v>45</v>
      </c>
      <c r="D17" s="8">
        <v>2.5667930170638615</v>
      </c>
    </row>
    <row r="18" spans="1:4">
      <c r="A18" t="s">
        <v>47</v>
      </c>
      <c r="B18" s="8">
        <v>10.287846481876333</v>
      </c>
      <c r="C18" t="s">
        <v>47</v>
      </c>
      <c r="D18" s="8">
        <v>4.1538239576092231</v>
      </c>
    </row>
    <row r="19" spans="1:4">
      <c r="A19" t="s">
        <v>49</v>
      </c>
      <c r="B19" s="8">
        <v>1.4925373134328357</v>
      </c>
      <c r="C19" t="s">
        <v>49</v>
      </c>
      <c r="D19" s="8">
        <v>0.13115958186325302</v>
      </c>
    </row>
    <row r="20" spans="1:4">
      <c r="A20" t="s">
        <v>51</v>
      </c>
      <c r="B20" s="8">
        <v>1.9456289978678039</v>
      </c>
      <c r="C20" t="s">
        <v>51</v>
      </c>
      <c r="D20" s="8">
        <v>2.2467636373175242</v>
      </c>
    </row>
    <row r="21" spans="1:4">
      <c r="A21" t="s">
        <v>53</v>
      </c>
      <c r="B21" s="8">
        <v>0.93283582089552231</v>
      </c>
      <c r="C21" t="s">
        <v>53</v>
      </c>
      <c r="D21" s="8">
        <v>1.1423999580289339</v>
      </c>
    </row>
    <row r="22" spans="1:4">
      <c r="A22" t="s">
        <v>55</v>
      </c>
      <c r="B22" s="8">
        <v>3.544776119402985</v>
      </c>
      <c r="C22" t="s">
        <v>55</v>
      </c>
      <c r="D22" s="8">
        <v>1.9083719161103314</v>
      </c>
    </row>
    <row r="23" spans="1:4">
      <c r="A23" t="s">
        <v>57</v>
      </c>
      <c r="B23" s="8">
        <v>2.4520255863539444</v>
      </c>
      <c r="C23" t="s">
        <v>57</v>
      </c>
      <c r="D23" s="8">
        <v>4.4764765289928254</v>
      </c>
    </row>
    <row r="24" spans="1:4">
      <c r="A24" t="s">
        <v>59</v>
      </c>
      <c r="B24" s="8">
        <v>0.93283582089552231</v>
      </c>
      <c r="C24" t="s">
        <v>59</v>
      </c>
      <c r="D24" s="8">
        <v>0.61513843893865661</v>
      </c>
    </row>
    <row r="25" spans="1:4">
      <c r="A25" t="s">
        <v>92</v>
      </c>
      <c r="B25" s="8">
        <v>1.732409381663113</v>
      </c>
      <c r="C25" t="s">
        <v>92</v>
      </c>
      <c r="D25" s="8">
        <v>5.9953044869692951</v>
      </c>
    </row>
    <row r="26" spans="1:4">
      <c r="A26" t="s">
        <v>11</v>
      </c>
      <c r="B26" s="8">
        <v>0.18656716417910446</v>
      </c>
      <c r="C26" t="s">
        <v>11</v>
      </c>
      <c r="D26" s="8">
        <v>0.9286098395918313</v>
      </c>
    </row>
    <row r="27" spans="1:4">
      <c r="A27" t="s">
        <v>14</v>
      </c>
      <c r="B27" s="8">
        <v>0.53304904051172708</v>
      </c>
      <c r="C27" t="s">
        <v>14</v>
      </c>
      <c r="D27" s="8">
        <v>0.72137770024789161</v>
      </c>
    </row>
    <row r="28" spans="1:4">
      <c r="A28" t="s">
        <v>17</v>
      </c>
      <c r="B28" s="8">
        <v>0.21321961620469082</v>
      </c>
      <c r="C28" t="s">
        <v>17</v>
      </c>
      <c r="D28" s="8">
        <v>0.259695972089241</v>
      </c>
    </row>
    <row r="31" spans="1:4">
      <c r="B31" s="6" t="s">
        <v>2</v>
      </c>
      <c r="C31" s="6" t="s">
        <v>3</v>
      </c>
      <c r="D31" s="6"/>
    </row>
    <row r="32" spans="1:4">
      <c r="A32" t="s">
        <v>5</v>
      </c>
      <c r="B32" t="s">
        <v>8</v>
      </c>
      <c r="C32" t="s">
        <v>8</v>
      </c>
    </row>
    <row r="33" spans="1:3">
      <c r="A33" t="s">
        <v>11</v>
      </c>
      <c r="B33" s="8">
        <v>3.4381663113006398</v>
      </c>
      <c r="C33" s="8">
        <v>1.7955746757079338</v>
      </c>
    </row>
    <row r="34" spans="1:3">
      <c r="A34" t="s">
        <v>14</v>
      </c>
      <c r="B34" s="8">
        <v>2.6119402985074625</v>
      </c>
      <c r="C34" s="8">
        <v>0.17575383969675903</v>
      </c>
    </row>
    <row r="35" spans="1:3">
      <c r="A35" t="s">
        <v>17</v>
      </c>
      <c r="B35" s="8">
        <v>1.7590618336886994</v>
      </c>
      <c r="C35" s="8">
        <v>0.46037013234001806</v>
      </c>
    </row>
    <row r="36" spans="1:3">
      <c r="A36" t="s">
        <v>20</v>
      </c>
      <c r="B36" s="8">
        <v>2.2654584221748397</v>
      </c>
      <c r="C36" s="8">
        <v>3.1556995396298677</v>
      </c>
    </row>
    <row r="37" spans="1:3">
      <c r="A37" t="s">
        <v>23</v>
      </c>
      <c r="B37" s="8">
        <v>1.652452025586354</v>
      </c>
      <c r="C37" s="8">
        <v>2.2808651286019699</v>
      </c>
    </row>
    <row r="38" spans="1:3">
      <c r="A38" t="s">
        <v>75</v>
      </c>
      <c r="B38" s="8">
        <v>5.3304904051172705E-2</v>
      </c>
      <c r="C38" s="8">
        <v>1.8362341460855421E-2</v>
      </c>
    </row>
    <row r="39" spans="1:3">
      <c r="A39" t="s">
        <v>26</v>
      </c>
      <c r="B39" s="8">
        <v>0.66631130063965882</v>
      </c>
      <c r="C39" s="8">
        <v>0.87745760266516259</v>
      </c>
    </row>
    <row r="40" spans="1:3">
      <c r="A40" t="s">
        <v>29</v>
      </c>
      <c r="B40" s="8">
        <v>1.4658848614072495</v>
      </c>
      <c r="C40" s="8">
        <v>4.7230565428957414</v>
      </c>
    </row>
    <row r="41" spans="1:3">
      <c r="A41" t="s">
        <v>32</v>
      </c>
      <c r="B41" s="8">
        <v>1.8656716417910446</v>
      </c>
      <c r="C41" s="8">
        <v>4.3282662014873498E-2</v>
      </c>
    </row>
    <row r="42" spans="1:3">
      <c r="A42" t="s">
        <v>35</v>
      </c>
      <c r="B42" s="8">
        <v>6.6098081023454158</v>
      </c>
      <c r="C42" s="8">
        <v>1.1043636792885902</v>
      </c>
    </row>
    <row r="43" spans="1:3">
      <c r="A43" t="s">
        <v>37</v>
      </c>
      <c r="B43" s="8">
        <v>4.3976545842217485</v>
      </c>
      <c r="C43" s="8">
        <v>4.4830345080859884</v>
      </c>
    </row>
    <row r="44" spans="1:3">
      <c r="A44" t="s">
        <v>39</v>
      </c>
      <c r="B44" s="8">
        <v>3.1716417910447761</v>
      </c>
      <c r="C44" s="8">
        <v>9.1024749813097596</v>
      </c>
    </row>
    <row r="45" spans="1:3">
      <c r="A45" t="s">
        <v>41</v>
      </c>
      <c r="B45" s="8">
        <v>17.510660980810236</v>
      </c>
      <c r="C45" s="8">
        <v>1.5319439161627952</v>
      </c>
    </row>
    <row r="46" spans="1:3">
      <c r="A46" t="s">
        <v>43</v>
      </c>
      <c r="B46" s="8">
        <v>2.3454157782515992</v>
      </c>
      <c r="C46" s="8">
        <v>3.7629684036567292</v>
      </c>
    </row>
    <row r="47" spans="1:3">
      <c r="A47" t="s">
        <v>45</v>
      </c>
      <c r="B47" s="8">
        <v>8.4754797441364609</v>
      </c>
      <c r="C47" s="8">
        <v>2.5667930170638615</v>
      </c>
    </row>
    <row r="48" spans="1:3">
      <c r="A48" t="s">
        <v>47</v>
      </c>
      <c r="B48" s="8">
        <v>10.287846481876333</v>
      </c>
      <c r="C48" s="8">
        <v>4.1538239576092231</v>
      </c>
    </row>
    <row r="49" spans="1:3">
      <c r="A49" t="s">
        <v>49</v>
      </c>
      <c r="B49" s="8">
        <v>1.4925373134328357</v>
      </c>
      <c r="C49" s="8">
        <v>0.13115958186325302</v>
      </c>
    </row>
    <row r="50" spans="1:3">
      <c r="A50" t="s">
        <v>51</v>
      </c>
      <c r="B50" s="8">
        <v>1.9456289978678039</v>
      </c>
      <c r="C50" s="8">
        <v>2.2467636373175242</v>
      </c>
    </row>
    <row r="51" spans="1:3">
      <c r="A51" t="s">
        <v>53</v>
      </c>
      <c r="B51" s="8">
        <v>0.93283582089552231</v>
      </c>
      <c r="C51" s="8">
        <v>1.1423999580289339</v>
      </c>
    </row>
    <row r="52" spans="1:3">
      <c r="A52" t="s">
        <v>55</v>
      </c>
      <c r="B52" s="8">
        <v>3.544776119402985</v>
      </c>
      <c r="C52" s="8">
        <v>1.9083719161103314</v>
      </c>
    </row>
    <row r="53" spans="1:3">
      <c r="A53" t="s">
        <v>57</v>
      </c>
      <c r="B53" s="8">
        <v>2.4520255863539444</v>
      </c>
      <c r="C53" s="8">
        <v>4.4764765289928254</v>
      </c>
    </row>
    <row r="54" spans="1:3">
      <c r="A54" t="s">
        <v>59</v>
      </c>
      <c r="B54" s="8">
        <v>0.93283582089552231</v>
      </c>
      <c r="C54" s="8">
        <v>0.61513843893865661</v>
      </c>
    </row>
    <row r="55" spans="1:3">
      <c r="A55" t="s">
        <v>92</v>
      </c>
      <c r="B55" s="8">
        <v>1.732409381663113</v>
      </c>
      <c r="C55" s="8">
        <v>5.9953044869692951</v>
      </c>
    </row>
    <row r="56" spans="1:3">
      <c r="A56" t="s">
        <v>11</v>
      </c>
      <c r="B56" s="8">
        <v>0.18656716417910446</v>
      </c>
      <c r="C56" s="8">
        <v>0.9286098395918313</v>
      </c>
    </row>
    <row r="57" spans="1:3">
      <c r="A57" t="s">
        <v>14</v>
      </c>
      <c r="B57" s="8">
        <v>0.53304904051172708</v>
      </c>
      <c r="C57" s="8">
        <v>0.72137770024789161</v>
      </c>
    </row>
    <row r="58" spans="1:3">
      <c r="A58" t="s">
        <v>17</v>
      </c>
      <c r="B58" s="8">
        <v>0.21321961620469082</v>
      </c>
      <c r="C58" s="8">
        <v>0.259695972089241</v>
      </c>
    </row>
  </sheetData>
  <mergeCells count="2">
    <mergeCell ref="A1:B1"/>
    <mergeCell ref="C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Stewart,Joseph</dc:creator>
  <cp:keywords/>
  <dc:description/>
  <cp:lastModifiedBy>Mikael Dunn</cp:lastModifiedBy>
  <cp:revision/>
  <dcterms:created xsi:type="dcterms:W3CDTF">2025-09-03T17:56:23Z</dcterms:created>
  <dcterms:modified xsi:type="dcterms:W3CDTF">2025-12-04T15:52:36Z</dcterms:modified>
  <cp:category/>
  <cp:contentStatus/>
</cp:coreProperties>
</file>