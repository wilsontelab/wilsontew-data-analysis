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My Documents\"/>
    </mc:Choice>
  </mc:AlternateContent>
  <xr:revisionPtr revIDLastSave="0" documentId="13_ncr:1_{B7D02750-CBA0-40D2-8E64-CC6F709F4342}" xr6:coauthVersionLast="47" xr6:coauthVersionMax="47" xr10:uidLastSave="{00000000-0000-0000-0000-000000000000}"/>
  <bookViews>
    <workbookView xWindow="-120" yWindow="-120" windowWidth="29040" windowHeight="15720" firstSheet="1" activeTab="1" xr2:uid="{63FD7F30-D8F6-4798-ABE0-2E938F5FFBFA}"/>
  </bookViews>
  <sheets>
    <sheet name="Sheet1" sheetId="1" r:id="rId1"/>
    <sheet name="CIS" sheetId="2" r:id="rId2"/>
    <sheet name="TRA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3" i="3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K3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I11" i="1"/>
  <c r="I10" i="1"/>
  <c r="H10" i="1"/>
  <c r="H11" i="1" s="1"/>
  <c r="I8" i="1"/>
  <c r="I9" i="1" s="1"/>
  <c r="H8" i="1"/>
  <c r="H9" i="1" s="1"/>
  <c r="I6" i="1"/>
  <c r="I7" i="1" s="1"/>
  <c r="H6" i="1"/>
  <c r="H7" i="1" s="1"/>
  <c r="I5" i="1"/>
  <c r="H5" i="1"/>
  <c r="I4" i="1"/>
  <c r="H4" i="1"/>
  <c r="I2" i="1"/>
  <c r="I14" i="1" s="1"/>
  <c r="H2" i="1"/>
  <c r="H14" i="1" s="1"/>
  <c r="H12" i="1" l="1"/>
  <c r="H13" i="1"/>
  <c r="H3" i="1"/>
  <c r="I3" i="1"/>
  <c r="I13" i="1"/>
  <c r="I12" i="1"/>
</calcChain>
</file>

<file path=xl/sharedStrings.xml><?xml version="1.0" encoding="utf-8"?>
<sst xmlns="http://schemas.openxmlformats.org/spreadsheetml/2006/main" count="643" uniqueCount="122">
  <si>
    <t>T0</t>
  </si>
  <si>
    <t>T120</t>
  </si>
  <si>
    <t>Time 0</t>
  </si>
  <si>
    <t>Time 120</t>
  </si>
  <si>
    <t>Count</t>
  </si>
  <si>
    <t>Molecule</t>
  </si>
  <si>
    <t>Total Counts</t>
  </si>
  <si>
    <t>CIS_C_to_D_DSB2_Chr4</t>
  </si>
  <si>
    <t>Percent "Kept" Reads</t>
  </si>
  <si>
    <t>CIS_A_to_B_DSB1_Chr3_L02</t>
  </si>
  <si>
    <t>Cis Counts</t>
  </si>
  <si>
    <t>CIS_A_to_B_DSB1_Chr3_L03</t>
  </si>
  <si>
    <t>Percent Cis</t>
  </si>
  <si>
    <t>CIS_A_to_B_DSB1_Chr3_L04</t>
  </si>
  <si>
    <t>Total Trans Counts</t>
  </si>
  <si>
    <t>CIS_A_to_B_DSB1_Chr4_L01</t>
  </si>
  <si>
    <t>Percent Trans</t>
  </si>
  <si>
    <t>CIS_A_to_B_DSB1_Chr4_L03</t>
  </si>
  <si>
    <t>Trans A to D Counts</t>
  </si>
  <si>
    <t>CIS_A_to_B_DSB1_Chr4_L06_2</t>
  </si>
  <si>
    <t>Percent A to D</t>
  </si>
  <si>
    <t>CIS_A_to_B_DSB1_Chr4_L10_2</t>
  </si>
  <si>
    <t>Trans C to B Counts</t>
  </si>
  <si>
    <t>CIS_A_to_B_DSB1_Chr4_L12_2</t>
  </si>
  <si>
    <t>Percent C to B</t>
  </si>
  <si>
    <t>CIS_A_to_B_DSB1_Chr4_L13</t>
  </si>
  <si>
    <t>Percent CIS Uncut</t>
  </si>
  <si>
    <t>CIS_A_to_B_DSB1_Chr4_L15_2</t>
  </si>
  <si>
    <t>Percent Trans Uncut</t>
  </si>
  <si>
    <t>CIS_A_to_B_DSB1_Chr7_990K</t>
  </si>
  <si>
    <t>Percent CIS DSB2</t>
  </si>
  <si>
    <t>CIS_A_to_B_DSB1_Chr7_L03</t>
  </si>
  <si>
    <t>CIS_A_to_B_DSB1_Chr7_L06</t>
  </si>
  <si>
    <t>CIS_A_to_B_DSB1_Chr7_L09</t>
  </si>
  <si>
    <t>CIS_A_to_B_DSB1_Chr12_L01</t>
  </si>
  <si>
    <t>CIS_A_to_B_DSB1_Chr12_L05</t>
  </si>
  <si>
    <t>CIS_A_to_B_DSB1_Chr12_L07</t>
  </si>
  <si>
    <t>CIS_A_to_B_DSB1_Chr12_L12</t>
  </si>
  <si>
    <t>CIS_A_to_B_DSB1_Chr15_L01</t>
  </si>
  <si>
    <t>CIS_A_to_B_DSB1_Chr15_L04</t>
  </si>
  <si>
    <t>CIS_A_to_B_DSB1_Chr15_L15</t>
  </si>
  <si>
    <t>CIS_A_to_B_DSB1_Chr15_L17_2</t>
  </si>
  <si>
    <t>CIS_A_to_B_DSB1_Chr15_L18</t>
  </si>
  <si>
    <t>CIS_A_to_B_DSB1_UNCUTTABLE</t>
  </si>
  <si>
    <t>CIS_C_to_D_DSB2_UNCUTTABLE</t>
  </si>
  <si>
    <t>TRANS_A_to_D_Chr3_L02</t>
  </si>
  <si>
    <t>TRANS_A_to_D_Chr3_L03</t>
  </si>
  <si>
    <t>TRANS_A_to_D_Chr3_L04</t>
  </si>
  <si>
    <t>TRANS_A_to_D_Chr4_L01</t>
  </si>
  <si>
    <t>TRANS_A_to_D_Chr4_L03</t>
  </si>
  <si>
    <t>TRANS_A_to_D_Chr4_L06_2</t>
  </si>
  <si>
    <t>TRANS_A_to_D_Chr4_L10_2</t>
  </si>
  <si>
    <t>TRANS_A_to_D_Chr4_L12_2</t>
  </si>
  <si>
    <t>TRANS_A_to_D_Chr4_L13</t>
  </si>
  <si>
    <t>TRANS_A_to_D_Chr4_L15_2</t>
  </si>
  <si>
    <t>TRANS_A_to_D_Chr7_990K</t>
  </si>
  <si>
    <t>TRANS_A_to_D_Chr7_L03</t>
  </si>
  <si>
    <t>TRANS_A_to_D_Chr7_L06</t>
  </si>
  <si>
    <t>TRANS_A_to_D_Chr7_L09</t>
  </si>
  <si>
    <t>TRANS_A_to_D_Chr12_L01</t>
  </si>
  <si>
    <t>TRANS_A_to_D_Chr12_L05</t>
  </si>
  <si>
    <t>TRANS_A_to_D_Chr12_L07</t>
  </si>
  <si>
    <t>TRANS_A_to_D_Chr12_L12</t>
  </si>
  <si>
    <t>TRANS_A_to_D_Chr15_L01</t>
  </si>
  <si>
    <t>TRANS_A_to_D_Chr15_L04</t>
  </si>
  <si>
    <t>TRANS_A_to_D_Chr15_L15</t>
  </si>
  <si>
    <t>TRANS_A_to_D_Chr15_L17_2</t>
  </si>
  <si>
    <t>TRANS_A_to_D_Chr15_L18</t>
  </si>
  <si>
    <t>TRANS_A_to_D_UNCUTTABLE</t>
  </si>
  <si>
    <t>TRANS_C_to_B_Chr3_L02</t>
  </si>
  <si>
    <t>TRANS_C_to_B_Chr3_L03</t>
  </si>
  <si>
    <t>TRANS_C_to_B_Chr3_L04</t>
  </si>
  <si>
    <t>TRANS_C_to_B_Chr4_L01</t>
  </si>
  <si>
    <t>TRANS_C_to_B_Chr4_L03</t>
  </si>
  <si>
    <t>TRANS_C_to_B_Chr4_L06_2</t>
  </si>
  <si>
    <t>TRANS_C_to_B_Chr4_L10_2</t>
  </si>
  <si>
    <t>TRANS_C_to_B_Chr4_L12_2</t>
  </si>
  <si>
    <t>TRANS_C_to_B_Chr4_L13</t>
  </si>
  <si>
    <t>TRANS_C_to_B_Chr4_L15_2</t>
  </si>
  <si>
    <t>TRANS_C_to_B_Chr7_990K</t>
  </si>
  <si>
    <t>TRANS_C_to_B_Chr7_L03</t>
  </si>
  <si>
    <t>TRANS_C_to_B_Chr7_L06</t>
  </si>
  <si>
    <t>TRANS_C_to_B_Chr7_L09</t>
  </si>
  <si>
    <t>TRANS_C_to_B_Chr12_L01</t>
  </si>
  <si>
    <t>TRANS_C_to_B_Chr12_L05</t>
  </si>
  <si>
    <t>TRANS_C_to_B_Chr12_L07</t>
  </si>
  <si>
    <t>TRANS_C_to_B_Chr12_L12</t>
  </si>
  <si>
    <t>TRANS_C_to_B_Chr15_L01</t>
  </si>
  <si>
    <t>TRANS_C_to_B_Chr15_L15</t>
  </si>
  <si>
    <t>TRANS_C_to_B_Chr15_L17_2</t>
  </si>
  <si>
    <t>TRANS_C_to_B_Chr15_L18</t>
  </si>
  <si>
    <t>TRANS_C_to_B_UNCUTTABLE</t>
  </si>
  <si>
    <t>LIGATED_A_to_C</t>
  </si>
  <si>
    <t>LIGATED_B_to_D</t>
  </si>
  <si>
    <t>Strain</t>
  </si>
  <si>
    <t>DSB2_Chr4</t>
  </si>
  <si>
    <t>DSB1_Chr3_L02</t>
  </si>
  <si>
    <t>DSB1_Chr3_L03</t>
  </si>
  <si>
    <t>DSB1_Chr3_L04</t>
  </si>
  <si>
    <t>DSB1_Chr4_L01</t>
  </si>
  <si>
    <t>DSB1_Chr4_L03</t>
  </si>
  <si>
    <t>DSB1_Chr4_L06_2</t>
  </si>
  <si>
    <t>DSB1_Chr4_L10_2</t>
  </si>
  <si>
    <t>DSB1_Chr4_L12_2</t>
  </si>
  <si>
    <t>DSB1_Chr4_L13</t>
  </si>
  <si>
    <t>DSB1_Chr4_L15_2</t>
  </si>
  <si>
    <t>DSB1_Chr7_990K</t>
  </si>
  <si>
    <t>DSB1_Chr7_L03</t>
  </si>
  <si>
    <t>DSB1_Chr7_L06</t>
  </si>
  <si>
    <t>DSB1_Chr7_L09</t>
  </si>
  <si>
    <t>DSB1_Chr12_L01</t>
  </si>
  <si>
    <t>DSB1_Chr12_L05</t>
  </si>
  <si>
    <t>DSB1_Chr12_L07</t>
  </si>
  <si>
    <t>DSB1_Chr12_L12</t>
  </si>
  <si>
    <t>DSB1_Chr15_L01</t>
  </si>
  <si>
    <t>DSB1_Chr15_L04</t>
  </si>
  <si>
    <t>DSB1_Chr15_L15</t>
  </si>
  <si>
    <t>DSB1_Chr15_L17_2</t>
  </si>
  <si>
    <t>DSB1_Chr15_L18</t>
  </si>
  <si>
    <t>DSB1_UNCUTTABLE</t>
  </si>
  <si>
    <t>DSB2_UNCUTTABLE</t>
  </si>
  <si>
    <t>Ratio (T120/T0)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</si>
</sst>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2" fontId="0" fillId="0" borderId="0" xfId="0" applyNumberFormat="1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CIS Frequency Comparison</a:t>
            </a:r>
            <a:r>
              <a:rPr lang="en-US" baseline="0"/>
              <a:t> T0 vs T120</a:t>
            </a:r>
            <a:endParaRPr lang="en-US"/>
          </a:p>
        </c:rich>
      </c:tx>
      <c:layout>
        <c:manualLayout>
          <c:xMode val="edge"/>
          <c:yMode val="edge"/>
          <c:x val="0.3269908638469371"/>
          <c:y val="2.7420734465452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CIS!$C$30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CIS!$B$31:$B$56</c:f>
              <c:strCache>
                <c:ptCount val="26"/>
                <c:pt idx="0">
                  <c:v>DSB2_Chr4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CIS!$C$31:$C$56</c:f>
              <c:numCache>
                <c:formatCode>General</c:formatCode>
                <c:ptCount val="26"/>
                <c:pt idx="0">
                  <c:v>42.196441510757658</c:v>
                </c:pt>
                <c:pt idx="1">
                  <c:v>3.3285623939020734</c:v>
                </c:pt>
                <c:pt idx="2">
                  <c:v>1.3905709508678585</c:v>
                </c:pt>
                <c:pt idx="3">
                  <c:v>13.596665292567833</c:v>
                </c:pt>
                <c:pt idx="4">
                  <c:v>1.9630836826190152</c:v>
                </c:pt>
                <c:pt idx="5">
                  <c:v>2.0777910635781023</c:v>
                </c:pt>
                <c:pt idx="6">
                  <c:v>1.9400397891227703</c:v>
                </c:pt>
                <c:pt idx="7">
                  <c:v>1.9423441784723949</c:v>
                </c:pt>
                <c:pt idx="8">
                  <c:v>2.3115585609344556</c:v>
                </c:pt>
                <c:pt idx="9">
                  <c:v>1.2197900957345753</c:v>
                </c:pt>
                <c:pt idx="10">
                  <c:v>1.8829421419042962</c:v>
                </c:pt>
                <c:pt idx="11">
                  <c:v>2.0396406176787627</c:v>
                </c:pt>
                <c:pt idx="12">
                  <c:v>1.004969799697357</c:v>
                </c:pt>
                <c:pt idx="13">
                  <c:v>1.5016937261719741</c:v>
                </c:pt>
                <c:pt idx="14">
                  <c:v>1.9935528306862726</c:v>
                </c:pt>
                <c:pt idx="15">
                  <c:v>1.8499125612263447</c:v>
                </c:pt>
                <c:pt idx="16">
                  <c:v>4.2067907793700821</c:v>
                </c:pt>
                <c:pt idx="17">
                  <c:v>1.6112802419096732</c:v>
                </c:pt>
                <c:pt idx="18">
                  <c:v>1.5229453168407334</c:v>
                </c:pt>
                <c:pt idx="19">
                  <c:v>2.0875207074987392</c:v>
                </c:pt>
                <c:pt idx="20">
                  <c:v>5.3769084824571963E-3</c:v>
                </c:pt>
                <c:pt idx="21">
                  <c:v>1.7436546078825479</c:v>
                </c:pt>
                <c:pt idx="22">
                  <c:v>2.271359768946561</c:v>
                </c:pt>
                <c:pt idx="23">
                  <c:v>0.32363868199170931</c:v>
                </c:pt>
                <c:pt idx="24">
                  <c:v>3.3295865669463511</c:v>
                </c:pt>
                <c:pt idx="25">
                  <c:v>0.65828722420940244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7-4D2C-99F7-AC30E46E460C}"/>
            </c:ext>
          </c:extLst>
        </c:ser>
        <c:ser>
          <c:idx val="1"/>
          <c:order val="1"/>
          <c:tx>
            <c:strRef>
              <c:f>CIS!$D$30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CIS!$B$31:$B$56</c:f>
              <c:strCache>
                <c:ptCount val="26"/>
                <c:pt idx="0">
                  <c:v>DSB2_Chr4</c:v>
                </c:pt>
                <c:pt idx="1">
                  <c:v>DSB1_Chr3_L02</c:v>
                </c:pt>
                <c:pt idx="2">
                  <c:v>DSB1_Chr3_L03</c:v>
                </c:pt>
                <c:pt idx="3">
                  <c:v>DSB1_Chr3_L04</c:v>
                </c:pt>
                <c:pt idx="4">
                  <c:v>DSB1_Chr4_L01</c:v>
                </c:pt>
                <c:pt idx="5">
                  <c:v>DSB1_Chr4_L03</c:v>
                </c:pt>
                <c:pt idx="6">
                  <c:v>DSB1_Chr4_L06_2</c:v>
                </c:pt>
                <c:pt idx="7">
                  <c:v>DSB1_Chr4_L10_2</c:v>
                </c:pt>
                <c:pt idx="8">
                  <c:v>DSB1_Chr4_L12_2</c:v>
                </c:pt>
                <c:pt idx="9">
                  <c:v>DSB1_Chr4_L13</c:v>
                </c:pt>
                <c:pt idx="10">
                  <c:v>DSB1_Chr4_L15_2</c:v>
                </c:pt>
                <c:pt idx="11">
                  <c:v>DSB1_Chr7_990K</c:v>
                </c:pt>
                <c:pt idx="12">
                  <c:v>DSB1_Chr7_L03</c:v>
                </c:pt>
                <c:pt idx="13">
                  <c:v>DSB1_Chr7_L06</c:v>
                </c:pt>
                <c:pt idx="14">
                  <c:v>DSB1_Chr7_L09</c:v>
                </c:pt>
                <c:pt idx="15">
                  <c:v>DSB1_Chr12_L01</c:v>
                </c:pt>
                <c:pt idx="16">
                  <c:v>DSB1_Chr12_L05</c:v>
                </c:pt>
                <c:pt idx="17">
                  <c:v>DSB1_Chr12_L07</c:v>
                </c:pt>
                <c:pt idx="18">
                  <c:v>DSB1_Chr12_L12</c:v>
                </c:pt>
                <c:pt idx="19">
                  <c:v>DSB1_Chr15_L01</c:v>
                </c:pt>
                <c:pt idx="20">
                  <c:v>DSB1_Chr15_L04</c:v>
                </c:pt>
                <c:pt idx="21">
                  <c:v>DSB1_Chr15_L15</c:v>
                </c:pt>
                <c:pt idx="22">
                  <c:v>DSB1_Chr15_L17_2</c:v>
                </c:pt>
                <c:pt idx="23">
                  <c:v>DSB1_Chr15_L18</c:v>
                </c:pt>
                <c:pt idx="24">
                  <c:v>DSB1_UNCUTTABLE</c:v>
                </c:pt>
                <c:pt idx="25">
                  <c:v>DSB2_UNCUTTABLE</c:v>
                </c:pt>
              </c:strCache>
            </c:strRef>
          </c:cat>
          <c:val>
            <c:numRef>
              <c:f>CIS!$D$31:$D$56</c:f>
              <c:numCache>
                <c:formatCode>General</c:formatCode>
                <c:ptCount val="26"/>
                <c:pt idx="0">
                  <c:v>17.597341246777056</c:v>
                </c:pt>
                <c:pt idx="1">
                  <c:v>1.6148648475646443</c:v>
                </c:pt>
                <c:pt idx="2">
                  <c:v>1.0881838595449087</c:v>
                </c:pt>
                <c:pt idx="3">
                  <c:v>13.365202184561104</c:v>
                </c:pt>
                <c:pt idx="4">
                  <c:v>0.90818544701312731</c:v>
                </c:pt>
                <c:pt idx="5">
                  <c:v>0.39865935748504067</c:v>
                </c:pt>
                <c:pt idx="6">
                  <c:v>1.0275016066714633</c:v>
                </c:pt>
                <c:pt idx="7">
                  <c:v>1.6773394032655757</c:v>
                </c:pt>
                <c:pt idx="8">
                  <c:v>1.8491444314431367</c:v>
                </c:pt>
                <c:pt idx="9">
                  <c:v>0.66545643551934541</c:v>
                </c:pt>
                <c:pt idx="10">
                  <c:v>1.5608397194790031</c:v>
                </c:pt>
                <c:pt idx="11">
                  <c:v>1.4783937894146595</c:v>
                </c:pt>
                <c:pt idx="12">
                  <c:v>0.43092080837978386</c:v>
                </c:pt>
                <c:pt idx="13">
                  <c:v>1.2809844351301596</c:v>
                </c:pt>
                <c:pt idx="14">
                  <c:v>0.54383588651138492</c:v>
                </c:pt>
                <c:pt idx="15">
                  <c:v>0.90844149027419674</c:v>
                </c:pt>
                <c:pt idx="16">
                  <c:v>3.7561546398879555</c:v>
                </c:pt>
                <c:pt idx="17">
                  <c:v>1.0129071407905079</c:v>
                </c:pt>
                <c:pt idx="18">
                  <c:v>0.66878499791324741</c:v>
                </c:pt>
                <c:pt idx="19">
                  <c:v>1.8340378790400427</c:v>
                </c:pt>
                <c:pt idx="20">
                  <c:v>8.7054708763592697E-3</c:v>
                </c:pt>
                <c:pt idx="21">
                  <c:v>0.75942431233181162</c:v>
                </c:pt>
                <c:pt idx="22">
                  <c:v>1.1383683387145092</c:v>
                </c:pt>
                <c:pt idx="23">
                  <c:v>0.14492048576527491</c:v>
                </c:pt>
                <c:pt idx="24">
                  <c:v>5.261176928453831</c:v>
                </c:pt>
                <c:pt idx="25">
                  <c:v>0.5953005819863324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87-4D2C-99F7-AC30E46E4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919487"/>
        <c:axId val="1484917567"/>
      </c:barChart>
      <c:catAx>
        <c:axId val="14849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17567"/>
        <c:crosses val="autoZero"/>
        <c:auto val="1"/>
        <c:lblAlgn val="ctr"/>
        <c:lblOffset val="100"/>
        <c:noMultiLvlLbl val="0"/>
      </c:catAx>
      <c:valAx>
        <c:axId val="14849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(No DSB2) CIS Frequency Comparison</a:t>
            </a:r>
            <a:r>
              <a:rPr lang="en-US" baseline="0"/>
              <a:t> T0 vs T120</a:t>
            </a:r>
            <a:endParaRPr lang="en-US"/>
          </a:p>
        </c:rich>
      </c:tx>
      <c:layout>
        <c:manualLayout>
          <c:xMode val="edge"/>
          <c:yMode val="edge"/>
          <c:x val="0.3269908638469371"/>
          <c:y val="2.74207344654522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CIS!$C$30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CIS!$B$32:$B$56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CIS!$C$32:$C$56</c:f>
              <c:numCache>
                <c:formatCode>General</c:formatCode>
                <c:ptCount val="25"/>
                <c:pt idx="0">
                  <c:v>3.3285623939020734</c:v>
                </c:pt>
                <c:pt idx="1">
                  <c:v>1.3905709508678585</c:v>
                </c:pt>
                <c:pt idx="2">
                  <c:v>13.596665292567833</c:v>
                </c:pt>
                <c:pt idx="3">
                  <c:v>1.9630836826190152</c:v>
                </c:pt>
                <c:pt idx="4">
                  <c:v>2.0777910635781023</c:v>
                </c:pt>
                <c:pt idx="5">
                  <c:v>1.9400397891227703</c:v>
                </c:pt>
                <c:pt idx="6">
                  <c:v>1.9423441784723949</c:v>
                </c:pt>
                <c:pt idx="7">
                  <c:v>2.3115585609344556</c:v>
                </c:pt>
                <c:pt idx="8">
                  <c:v>1.2197900957345753</c:v>
                </c:pt>
                <c:pt idx="9">
                  <c:v>1.8829421419042962</c:v>
                </c:pt>
                <c:pt idx="10">
                  <c:v>2.0396406176787627</c:v>
                </c:pt>
                <c:pt idx="11">
                  <c:v>1.004969799697357</c:v>
                </c:pt>
                <c:pt idx="12">
                  <c:v>1.5016937261719741</c:v>
                </c:pt>
                <c:pt idx="13">
                  <c:v>1.9935528306862726</c:v>
                </c:pt>
                <c:pt idx="14">
                  <c:v>1.8499125612263447</c:v>
                </c:pt>
                <c:pt idx="15">
                  <c:v>4.2067907793700821</c:v>
                </c:pt>
                <c:pt idx="16">
                  <c:v>1.6112802419096732</c:v>
                </c:pt>
                <c:pt idx="17">
                  <c:v>1.5229453168407334</c:v>
                </c:pt>
                <c:pt idx="18">
                  <c:v>2.0875207074987392</c:v>
                </c:pt>
                <c:pt idx="19">
                  <c:v>5.3769084824571963E-3</c:v>
                </c:pt>
                <c:pt idx="20">
                  <c:v>1.7436546078825479</c:v>
                </c:pt>
                <c:pt idx="21">
                  <c:v>2.271359768946561</c:v>
                </c:pt>
                <c:pt idx="22">
                  <c:v>0.32363868199170931</c:v>
                </c:pt>
                <c:pt idx="23">
                  <c:v>3.3295865669463511</c:v>
                </c:pt>
                <c:pt idx="24">
                  <c:v>0.65828722420940244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30-4B58-B880-608B608B4C98}"/>
            </c:ext>
          </c:extLst>
        </c:ser>
        <c:ser>
          <c:idx val="1"/>
          <c:order val="1"/>
          <c:tx>
            <c:strRef>
              <c:f>CIS!$D$30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CIS!$B$32:$B$56</c:f>
              <c:strCache>
                <c:ptCount val="25"/>
                <c:pt idx="0">
                  <c:v>DSB1_Chr3_L02</c:v>
                </c:pt>
                <c:pt idx="1">
                  <c:v>DSB1_Chr3_L03</c:v>
                </c:pt>
                <c:pt idx="2">
                  <c:v>DSB1_Chr3_L04</c:v>
                </c:pt>
                <c:pt idx="3">
                  <c:v>DSB1_Chr4_L01</c:v>
                </c:pt>
                <c:pt idx="4">
                  <c:v>DSB1_Chr4_L03</c:v>
                </c:pt>
                <c:pt idx="5">
                  <c:v>DSB1_Chr4_L06_2</c:v>
                </c:pt>
                <c:pt idx="6">
                  <c:v>DSB1_Chr4_L10_2</c:v>
                </c:pt>
                <c:pt idx="7">
                  <c:v>DSB1_Chr4_L12_2</c:v>
                </c:pt>
                <c:pt idx="8">
                  <c:v>DSB1_Chr4_L13</c:v>
                </c:pt>
                <c:pt idx="9">
                  <c:v>DSB1_Chr4_L15_2</c:v>
                </c:pt>
                <c:pt idx="10">
                  <c:v>DSB1_Chr7_990K</c:v>
                </c:pt>
                <c:pt idx="11">
                  <c:v>DSB1_Chr7_L03</c:v>
                </c:pt>
                <c:pt idx="12">
                  <c:v>DSB1_Chr7_L06</c:v>
                </c:pt>
                <c:pt idx="13">
                  <c:v>DSB1_Chr7_L09</c:v>
                </c:pt>
                <c:pt idx="14">
                  <c:v>DSB1_Chr12_L01</c:v>
                </c:pt>
                <c:pt idx="15">
                  <c:v>DSB1_Chr12_L05</c:v>
                </c:pt>
                <c:pt idx="16">
                  <c:v>DSB1_Chr12_L07</c:v>
                </c:pt>
                <c:pt idx="17">
                  <c:v>DSB1_Chr12_L12</c:v>
                </c:pt>
                <c:pt idx="18">
                  <c:v>DSB1_Chr15_L01</c:v>
                </c:pt>
                <c:pt idx="19">
                  <c:v>DSB1_Chr15_L04</c:v>
                </c:pt>
                <c:pt idx="20">
                  <c:v>DSB1_Chr15_L15</c:v>
                </c:pt>
                <c:pt idx="21">
                  <c:v>DSB1_Chr15_L17_2</c:v>
                </c:pt>
                <c:pt idx="22">
                  <c:v>DSB1_Chr15_L18</c:v>
                </c:pt>
                <c:pt idx="23">
                  <c:v>DSB1_UNCUTTABLE</c:v>
                </c:pt>
                <c:pt idx="24">
                  <c:v>DSB2_UNCUTTABLE</c:v>
                </c:pt>
              </c:strCache>
            </c:strRef>
          </c:cat>
          <c:val>
            <c:numRef>
              <c:f>CIS!$D$32:$D$56</c:f>
              <c:numCache>
                <c:formatCode>General</c:formatCode>
                <c:ptCount val="25"/>
                <c:pt idx="0">
                  <c:v>1.6148648475646443</c:v>
                </c:pt>
                <c:pt idx="1">
                  <c:v>1.0881838595449087</c:v>
                </c:pt>
                <c:pt idx="2">
                  <c:v>13.365202184561104</c:v>
                </c:pt>
                <c:pt idx="3">
                  <c:v>0.90818544701312731</c:v>
                </c:pt>
                <c:pt idx="4">
                  <c:v>0.39865935748504067</c:v>
                </c:pt>
                <c:pt idx="5">
                  <c:v>1.0275016066714633</c:v>
                </c:pt>
                <c:pt idx="6">
                  <c:v>1.6773394032655757</c:v>
                </c:pt>
                <c:pt idx="7">
                  <c:v>1.8491444314431367</c:v>
                </c:pt>
                <c:pt idx="8">
                  <c:v>0.66545643551934541</c:v>
                </c:pt>
                <c:pt idx="9">
                  <c:v>1.5608397194790031</c:v>
                </c:pt>
                <c:pt idx="10">
                  <c:v>1.4783937894146595</c:v>
                </c:pt>
                <c:pt idx="11">
                  <c:v>0.43092080837978386</c:v>
                </c:pt>
                <c:pt idx="12">
                  <c:v>1.2809844351301596</c:v>
                </c:pt>
                <c:pt idx="13">
                  <c:v>0.54383588651138492</c:v>
                </c:pt>
                <c:pt idx="14">
                  <c:v>0.90844149027419674</c:v>
                </c:pt>
                <c:pt idx="15">
                  <c:v>3.7561546398879555</c:v>
                </c:pt>
                <c:pt idx="16">
                  <c:v>1.0129071407905079</c:v>
                </c:pt>
                <c:pt idx="17">
                  <c:v>0.66878499791324741</c:v>
                </c:pt>
                <c:pt idx="18">
                  <c:v>1.8340378790400427</c:v>
                </c:pt>
                <c:pt idx="19">
                  <c:v>8.7054708763592697E-3</c:v>
                </c:pt>
                <c:pt idx="20">
                  <c:v>0.75942431233181162</c:v>
                </c:pt>
                <c:pt idx="21">
                  <c:v>1.1383683387145092</c:v>
                </c:pt>
                <c:pt idx="22">
                  <c:v>0.14492048576527491</c:v>
                </c:pt>
                <c:pt idx="23">
                  <c:v>5.261176928453831</c:v>
                </c:pt>
                <c:pt idx="24">
                  <c:v>0.5953005819863324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30-4B58-B880-608B608B4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84919487"/>
        <c:axId val="1484917567"/>
      </c:barChart>
      <c:catAx>
        <c:axId val="1484919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17567"/>
        <c:crosses val="autoZero"/>
        <c:auto val="1"/>
        <c:lblAlgn val="ctr"/>
        <c:lblOffset val="100"/>
        <c:noMultiLvlLbl val="0"/>
      </c:catAx>
      <c:valAx>
        <c:axId val="148491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4919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TRANS!$H$2</c:f>
              <c:strCache>
                <c:ptCount val="1"/>
                <c:pt idx="0">
                  <c:v>T0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TRANS!$G$3:$G$49</c:f>
              <c:strCache>
                <c:ptCount val="47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TRANS_C_to_B_Chr15_L15</c:v>
                </c:pt>
                <c:pt idx="44">
                  <c:v>TRANS_C_to_B_Chr15_L17_2</c:v>
                </c:pt>
                <c:pt idx="45">
                  <c:v>TRANS_C_to_B_Chr15_L18</c:v>
                </c:pt>
                <c:pt idx="46">
                  <c:v>TRANS_C_to_B_UNCUTTABLE</c:v>
                </c:pt>
              </c:strCache>
            </c:strRef>
          </c:cat>
          <c:val>
            <c:numRef>
              <c:f>TRANS!$H$3:$H$49</c:f>
              <c:numCache>
                <c:formatCode>0.00</c:formatCode>
                <c:ptCount val="47"/>
                <c:pt idx="0">
                  <c:v>9.2937827165028928</c:v>
                </c:pt>
                <c:pt idx="1">
                  <c:v>1.9101845899531635</c:v>
                </c:pt>
                <c:pt idx="2">
                  <c:v>24.125264027918085</c:v>
                </c:pt>
                <c:pt idx="3">
                  <c:v>4.224446689319497</c:v>
                </c:pt>
                <c:pt idx="4">
                  <c:v>2.7734410873358435</c:v>
                </c:pt>
                <c:pt idx="5">
                  <c:v>5.1979061438148584</c:v>
                </c:pt>
                <c:pt idx="6">
                  <c:v>1.267334006795849</c:v>
                </c:pt>
                <c:pt idx="7">
                  <c:v>0.84488933786389941</c:v>
                </c:pt>
                <c:pt idx="8">
                  <c:v>3.9122049775002297</c:v>
                </c:pt>
                <c:pt idx="9">
                  <c:v>2.4428322159977962</c:v>
                </c:pt>
                <c:pt idx="10">
                  <c:v>2.7734410873358435</c:v>
                </c:pt>
                <c:pt idx="11">
                  <c:v>2.8744604646891361</c:v>
                </c:pt>
                <c:pt idx="12">
                  <c:v>0.98264303425475252</c:v>
                </c:pt>
                <c:pt idx="13">
                  <c:v>5.289741941408761</c:v>
                </c:pt>
                <c:pt idx="14">
                  <c:v>2.7642575075764531</c:v>
                </c:pt>
                <c:pt idx="15">
                  <c:v>2.1765084029754798</c:v>
                </c:pt>
                <c:pt idx="16">
                  <c:v>3.2601708145835246</c:v>
                </c:pt>
                <c:pt idx="17">
                  <c:v>7.5305354026999725</c:v>
                </c:pt>
                <c:pt idx="18">
                  <c:v>2.5254844338323079</c:v>
                </c:pt>
                <c:pt idx="19">
                  <c:v>4.5917898796951052E-2</c:v>
                </c:pt>
                <c:pt idx="20">
                  <c:v>3.9581228762971805</c:v>
                </c:pt>
                <c:pt idx="21">
                  <c:v>5.1519882450179075</c:v>
                </c:pt>
                <c:pt idx="22">
                  <c:v>0.34897603085682799</c:v>
                </c:pt>
                <c:pt idx="23">
                  <c:v>4.3254660666727887</c:v>
                </c:pt>
                <c:pt idx="24">
                  <c:v>5.6939501779359425</c:v>
                </c:pt>
                <c:pt idx="25">
                  <c:v>2.4911032028469751</c:v>
                </c:pt>
                <c:pt idx="26">
                  <c:v>12.811387900355871</c:v>
                </c:pt>
                <c:pt idx="27">
                  <c:v>2.1352313167259789</c:v>
                </c:pt>
                <c:pt idx="28">
                  <c:v>5.6939501779359425</c:v>
                </c:pt>
                <c:pt idx="29">
                  <c:v>1.7793594306049825</c:v>
                </c:pt>
                <c:pt idx="30">
                  <c:v>2.8469750889679712</c:v>
                </c:pt>
                <c:pt idx="31">
                  <c:v>6.7615658362989333</c:v>
                </c:pt>
                <c:pt idx="32">
                  <c:v>0.71174377224199281</c:v>
                </c:pt>
                <c:pt idx="33">
                  <c:v>14.23487544483986</c:v>
                </c:pt>
                <c:pt idx="34">
                  <c:v>3.5587188612099649</c:v>
                </c:pt>
                <c:pt idx="35">
                  <c:v>1.7793594306049825</c:v>
                </c:pt>
                <c:pt idx="36">
                  <c:v>3.9145907473309607</c:v>
                </c:pt>
                <c:pt idx="37">
                  <c:v>0.71174377224199281</c:v>
                </c:pt>
                <c:pt idx="38">
                  <c:v>1.0676156583629894</c:v>
                </c:pt>
                <c:pt idx="39">
                  <c:v>8.8967971530249113</c:v>
                </c:pt>
                <c:pt idx="40">
                  <c:v>1.7793594306049825</c:v>
                </c:pt>
                <c:pt idx="41">
                  <c:v>6.0498220640569391</c:v>
                </c:pt>
                <c:pt idx="42">
                  <c:v>3.2028469750889679</c:v>
                </c:pt>
                <c:pt idx="43">
                  <c:v>6.4056939501779357</c:v>
                </c:pt>
                <c:pt idx="44">
                  <c:v>2.8469750889679712</c:v>
                </c:pt>
                <c:pt idx="45">
                  <c:v>0.35587188612099641</c:v>
                </c:pt>
                <c:pt idx="46">
                  <c:v>3.9145907473309607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B5-4404-BEBA-34B5C054E7AE}"/>
            </c:ext>
          </c:extLst>
        </c:ser>
        <c:ser>
          <c:idx val="1"/>
          <c:order val="1"/>
          <c:tx>
            <c:strRef>
              <c:f>TRANS!$I$2</c:f>
              <c:strCache>
                <c:ptCount val="1"/>
                <c:pt idx="0">
                  <c:v>T120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9B5-4404-BEBA-34B5C054E7AE}"/>
                </c:ext>
              </c:extLst>
            </c:dLbl>
            <c:dLbl>
              <c:idx val="25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9B5-4404-BEBA-34B5C054E7AE}"/>
                </c:ext>
              </c:extLst>
            </c:dLbl>
            <c:dLbl>
              <c:idx val="2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9B5-4404-BEBA-34B5C054E7AE}"/>
                </c:ext>
              </c:extLst>
            </c:dLbl>
            <c:dLbl>
              <c:idx val="3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9B5-4404-BEBA-34B5C054E7AE}"/>
                </c:ext>
              </c:extLst>
            </c:dLbl>
            <c:dLbl>
              <c:idx val="3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9B5-4404-BEBA-34B5C054E7AE}"/>
                </c:ext>
              </c:extLst>
            </c:dLbl>
            <c:dLbl>
              <c:idx val="3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9B5-4404-BEBA-34B5C054E7AE}"/>
                </c:ext>
              </c:extLst>
            </c:dLbl>
            <c:dLbl>
              <c:idx val="3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9B5-4404-BEBA-34B5C054E7AE}"/>
                </c:ext>
              </c:extLst>
            </c:dLbl>
            <c:dLbl>
              <c:idx val="36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9B5-4404-BEBA-34B5C054E7AE}"/>
                </c:ext>
              </c:extLst>
            </c:dLbl>
            <c:dLbl>
              <c:idx val="38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79B5-4404-BEBA-34B5C054E7AE}"/>
                </c:ext>
              </c:extLst>
            </c:dLbl>
            <c:dLbl>
              <c:idx val="39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9B5-4404-BEBA-34B5C054E7AE}"/>
                </c:ext>
              </c:extLst>
            </c:dLbl>
            <c:dLbl>
              <c:idx val="40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9B5-4404-BEBA-34B5C054E7AE}"/>
                </c:ext>
              </c:extLst>
            </c:dLbl>
            <c:dLbl>
              <c:idx val="41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9B5-4404-BEBA-34B5C054E7AE}"/>
                </c:ext>
              </c:extLst>
            </c:dLbl>
            <c:dLbl>
              <c:idx val="42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9B5-4404-BEBA-34B5C054E7AE}"/>
                </c:ext>
              </c:extLst>
            </c:dLbl>
            <c:dLbl>
              <c:idx val="43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9B5-4404-BEBA-34B5C054E7AE}"/>
                </c:ext>
              </c:extLst>
            </c:dLbl>
            <c:dLbl>
              <c:idx val="44"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9B5-4404-BEBA-34B5C054E7A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TRANS!$G$3:$G$49</c:f>
              <c:strCache>
                <c:ptCount val="47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TRANS_C_to_B_Chr15_L15</c:v>
                </c:pt>
                <c:pt idx="44">
                  <c:v>TRANS_C_to_B_Chr15_L17_2</c:v>
                </c:pt>
                <c:pt idx="45">
                  <c:v>TRANS_C_to_B_Chr15_L18</c:v>
                </c:pt>
                <c:pt idx="46">
                  <c:v>TRANS_C_to_B_UNCUTTABLE</c:v>
                </c:pt>
              </c:strCache>
            </c:strRef>
          </c:cat>
          <c:val>
            <c:numRef>
              <c:f>TRANS!$I$3:$I$49</c:f>
              <c:numCache>
                <c:formatCode>0.00</c:formatCode>
                <c:ptCount val="47"/>
                <c:pt idx="0">
                  <c:v>1.1663146294425566</c:v>
                </c:pt>
                <c:pt idx="1">
                  <c:v>6.7315639636330236</c:v>
                </c:pt>
                <c:pt idx="2">
                  <c:v>33.318027367067685</c:v>
                </c:pt>
                <c:pt idx="3">
                  <c:v>0.50509688676646158</c:v>
                </c:pt>
                <c:pt idx="4">
                  <c:v>0.4499954082101203</c:v>
                </c:pt>
                <c:pt idx="5">
                  <c:v>0.82652217834511887</c:v>
                </c:pt>
                <c:pt idx="6">
                  <c:v>3.1958857562677934</c:v>
                </c:pt>
                <c:pt idx="7">
                  <c:v>8.4029754798420431</c:v>
                </c:pt>
                <c:pt idx="8">
                  <c:v>2.1673248232160898</c:v>
                </c:pt>
                <c:pt idx="9">
                  <c:v>6.7040132243548527</c:v>
                </c:pt>
                <c:pt idx="10">
                  <c:v>3.6183304251997428</c:v>
                </c:pt>
                <c:pt idx="11">
                  <c:v>1.3499862246303609</c:v>
                </c:pt>
                <c:pt idx="12">
                  <c:v>2.5714023326292588</c:v>
                </c:pt>
                <c:pt idx="13">
                  <c:v>2.6816052897419413</c:v>
                </c:pt>
                <c:pt idx="14">
                  <c:v>1.2214161079988981</c:v>
                </c:pt>
                <c:pt idx="15">
                  <c:v>2.3969143172008449</c:v>
                </c:pt>
                <c:pt idx="16">
                  <c:v>1.0928459913674349</c:v>
                </c:pt>
                <c:pt idx="17">
                  <c:v>0.52346404628524201</c:v>
                </c:pt>
                <c:pt idx="18">
                  <c:v>6.7407475433924144</c:v>
                </c:pt>
                <c:pt idx="19">
                  <c:v>9.1835797593902094E-3</c:v>
                </c:pt>
                <c:pt idx="20">
                  <c:v>0.14693727615024335</c:v>
                </c:pt>
                <c:pt idx="21">
                  <c:v>3.7836348608687667</c:v>
                </c:pt>
                <c:pt idx="22">
                  <c:v>3.6734319037560838E-2</c:v>
                </c:pt>
                <c:pt idx="23">
                  <c:v>6.5570759482046101</c:v>
                </c:pt>
                <c:pt idx="24">
                  <c:v>1.0676156583629894</c:v>
                </c:pt>
                <c:pt idx="25">
                  <c:v>28.825622775800714</c:v>
                </c:pt>
                <c:pt idx="26">
                  <c:v>28.825622775800714</c:v>
                </c:pt>
                <c:pt idx="27">
                  <c:v>11.387900355871885</c:v>
                </c:pt>
                <c:pt idx="28">
                  <c:v>3.5587188612099649</c:v>
                </c:pt>
                <c:pt idx="29">
                  <c:v>5.3380782918149468</c:v>
                </c:pt>
                <c:pt idx="30">
                  <c:v>92.170818505338076</c:v>
                </c:pt>
                <c:pt idx="31">
                  <c:v>132.74021352313167</c:v>
                </c:pt>
                <c:pt idx="32">
                  <c:v>83.629893238434164</c:v>
                </c:pt>
                <c:pt idx="33">
                  <c:v>43.416370106761562</c:v>
                </c:pt>
                <c:pt idx="34">
                  <c:v>11.032028469750891</c:v>
                </c:pt>
                <c:pt idx="35">
                  <c:v>2.4911032028469751</c:v>
                </c:pt>
                <c:pt idx="36">
                  <c:v>16.014234875444842</c:v>
                </c:pt>
                <c:pt idx="37">
                  <c:v>0</c:v>
                </c:pt>
                <c:pt idx="38">
                  <c:v>25.978647686832741</c:v>
                </c:pt>
                <c:pt idx="39">
                  <c:v>44.128113879003564</c:v>
                </c:pt>
                <c:pt idx="40">
                  <c:v>24.911032028469752</c:v>
                </c:pt>
                <c:pt idx="41">
                  <c:v>48.754448398576514</c:v>
                </c:pt>
                <c:pt idx="42">
                  <c:v>85.409252669039148</c:v>
                </c:pt>
                <c:pt idx="43">
                  <c:v>54.44839857651246</c:v>
                </c:pt>
                <c:pt idx="44">
                  <c:v>21.708185053380781</c:v>
                </c:pt>
                <c:pt idx="45">
                  <c:v>0</c:v>
                </c:pt>
                <c:pt idx="46">
                  <c:v>6.0498220640569391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B5-4404-BEBA-34B5C054E7A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459834767"/>
        <c:axId val="1459831407"/>
      </c:barChart>
      <c:catAx>
        <c:axId val="1459834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1407"/>
        <c:crosses val="autoZero"/>
        <c:auto val="1"/>
        <c:lblAlgn val="ctr"/>
        <c:lblOffset val="100"/>
        <c:noMultiLvlLbl val="0"/>
      </c:catAx>
      <c:valAx>
        <c:axId val="145983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9834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TRANS!$K$2</c:f>
              <c:strCache>
                <c:ptCount val="1"/>
                <c:pt idx="0">
                  <c:v>Ratio (T120/T0)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TRANS!$J$3:$J$49</c:f>
              <c:strCache>
                <c:ptCount val="47"/>
                <c:pt idx="0">
                  <c:v>TRANS_A_to_D_Chr3_L02</c:v>
                </c:pt>
                <c:pt idx="1">
                  <c:v>TRANS_A_to_D_Chr3_L03</c:v>
                </c:pt>
                <c:pt idx="2">
                  <c:v>TRANS_A_to_D_Chr3_L04</c:v>
                </c:pt>
                <c:pt idx="3">
                  <c:v>TRANS_A_to_D_Chr4_L01</c:v>
                </c:pt>
                <c:pt idx="4">
                  <c:v>TRANS_A_to_D_Chr4_L03</c:v>
                </c:pt>
                <c:pt idx="5">
                  <c:v>TRANS_A_to_D_Chr4_L06_2</c:v>
                </c:pt>
                <c:pt idx="6">
                  <c:v>TRANS_A_to_D_Chr4_L10_2</c:v>
                </c:pt>
                <c:pt idx="7">
                  <c:v>TRANS_A_to_D_Chr4_L12_2</c:v>
                </c:pt>
                <c:pt idx="8">
                  <c:v>TRANS_A_to_D_Chr4_L13</c:v>
                </c:pt>
                <c:pt idx="9">
                  <c:v>TRANS_A_to_D_Chr4_L15_2</c:v>
                </c:pt>
                <c:pt idx="10">
                  <c:v>TRANS_A_to_D_Chr7_990K</c:v>
                </c:pt>
                <c:pt idx="11">
                  <c:v>TRANS_A_to_D_Chr7_L03</c:v>
                </c:pt>
                <c:pt idx="12">
                  <c:v>TRANS_A_to_D_Chr7_L06</c:v>
                </c:pt>
                <c:pt idx="13">
                  <c:v>TRANS_A_to_D_Chr7_L09</c:v>
                </c:pt>
                <c:pt idx="14">
                  <c:v>TRANS_A_to_D_Chr12_L01</c:v>
                </c:pt>
                <c:pt idx="15">
                  <c:v>TRANS_A_to_D_Chr12_L05</c:v>
                </c:pt>
                <c:pt idx="16">
                  <c:v>TRANS_A_to_D_Chr12_L07</c:v>
                </c:pt>
                <c:pt idx="17">
                  <c:v>TRANS_A_to_D_Chr12_L12</c:v>
                </c:pt>
                <c:pt idx="18">
                  <c:v>TRANS_A_to_D_Chr15_L01</c:v>
                </c:pt>
                <c:pt idx="19">
                  <c:v>TRANS_A_to_D_Chr15_L04</c:v>
                </c:pt>
                <c:pt idx="20">
                  <c:v>TRANS_A_to_D_Chr15_L15</c:v>
                </c:pt>
                <c:pt idx="21">
                  <c:v>TRANS_A_to_D_Chr15_L17_2</c:v>
                </c:pt>
                <c:pt idx="22">
                  <c:v>TRANS_A_to_D_Chr15_L18</c:v>
                </c:pt>
                <c:pt idx="23">
                  <c:v>TRANS_A_to_D_UNCUTTABLE</c:v>
                </c:pt>
                <c:pt idx="24">
                  <c:v>TRANS_C_to_B_Chr3_L02</c:v>
                </c:pt>
                <c:pt idx="25">
                  <c:v>TRANS_C_to_B_Chr3_L03</c:v>
                </c:pt>
                <c:pt idx="26">
                  <c:v>TRANS_C_to_B_Chr3_L04</c:v>
                </c:pt>
                <c:pt idx="27">
                  <c:v>TRANS_C_to_B_Chr4_L01</c:v>
                </c:pt>
                <c:pt idx="28">
                  <c:v>TRANS_C_to_B_Chr4_L03</c:v>
                </c:pt>
                <c:pt idx="29">
                  <c:v>TRANS_C_to_B_Chr4_L06_2</c:v>
                </c:pt>
                <c:pt idx="30">
                  <c:v>TRANS_C_to_B_Chr4_L10_2</c:v>
                </c:pt>
                <c:pt idx="31">
                  <c:v>TRANS_C_to_B_Chr4_L12_2</c:v>
                </c:pt>
                <c:pt idx="32">
                  <c:v>TRANS_C_to_B_Chr4_L13</c:v>
                </c:pt>
                <c:pt idx="33">
                  <c:v>TRANS_C_to_B_Chr4_L15_2</c:v>
                </c:pt>
                <c:pt idx="34">
                  <c:v>TRANS_C_to_B_Chr7_990K</c:v>
                </c:pt>
                <c:pt idx="35">
                  <c:v>TRANS_C_to_B_Chr7_L03</c:v>
                </c:pt>
                <c:pt idx="36">
                  <c:v>TRANS_C_to_B_Chr7_L06</c:v>
                </c:pt>
                <c:pt idx="37">
                  <c:v>TRANS_C_to_B_Chr7_L09</c:v>
                </c:pt>
                <c:pt idx="38">
                  <c:v>TRANS_C_to_B_Chr12_L01</c:v>
                </c:pt>
                <c:pt idx="39">
                  <c:v>TRANS_C_to_B_Chr12_L05</c:v>
                </c:pt>
                <c:pt idx="40">
                  <c:v>TRANS_C_to_B_Chr12_L07</c:v>
                </c:pt>
                <c:pt idx="41">
                  <c:v>TRANS_C_to_B_Chr12_L12</c:v>
                </c:pt>
                <c:pt idx="42">
                  <c:v>TRANS_C_to_B_Chr15_L01</c:v>
                </c:pt>
                <c:pt idx="43">
                  <c:v>TRANS_C_to_B_Chr15_L15</c:v>
                </c:pt>
                <c:pt idx="44">
                  <c:v>TRANS_C_to_B_Chr15_L17_2</c:v>
                </c:pt>
                <c:pt idx="45">
                  <c:v>TRANS_C_to_B_Chr15_L18</c:v>
                </c:pt>
                <c:pt idx="46">
                  <c:v>TRANS_C_to_B_UNCUTTABLE</c:v>
                </c:pt>
              </c:strCache>
            </c:strRef>
          </c:cat>
          <c:val>
            <c:numRef>
              <c:f>TRANS!$K$3:$K$49</c:f>
              <c:numCache>
                <c:formatCode>0.00</c:formatCode>
                <c:ptCount val="47"/>
                <c:pt idx="0">
                  <c:v>0.12549407114624506</c:v>
                </c:pt>
                <c:pt idx="1">
                  <c:v>3.5240384615384617</c:v>
                </c:pt>
                <c:pt idx="2">
                  <c:v>1.3810430148458317</c:v>
                </c:pt>
                <c:pt idx="3">
                  <c:v>0.11956521739130435</c:v>
                </c:pt>
                <c:pt idx="4">
                  <c:v>0.16225165562913907</c:v>
                </c:pt>
                <c:pt idx="5">
                  <c:v>0.1590106007067138</c:v>
                </c:pt>
                <c:pt idx="6">
                  <c:v>2.5217391304347827</c:v>
                </c:pt>
                <c:pt idx="7">
                  <c:v>9.945652173913043</c:v>
                </c:pt>
                <c:pt idx="8">
                  <c:v>0.5539906103286385</c:v>
                </c:pt>
                <c:pt idx="9">
                  <c:v>2.7443609022556386</c:v>
                </c:pt>
                <c:pt idx="10">
                  <c:v>1.304635761589404</c:v>
                </c:pt>
                <c:pt idx="11">
                  <c:v>0.46964856230031943</c:v>
                </c:pt>
                <c:pt idx="12">
                  <c:v>2.6168224299065419</c:v>
                </c:pt>
                <c:pt idx="13">
                  <c:v>0.50694444444444442</c:v>
                </c:pt>
                <c:pt idx="14">
                  <c:v>0.44186046511627913</c:v>
                </c:pt>
                <c:pt idx="15">
                  <c:v>1.1012658227848102</c:v>
                </c:pt>
                <c:pt idx="16">
                  <c:v>0.33521126760563374</c:v>
                </c:pt>
                <c:pt idx="17">
                  <c:v>6.9512195121951226E-2</c:v>
                </c:pt>
                <c:pt idx="18">
                  <c:v>2.669090909090909</c:v>
                </c:pt>
                <c:pt idx="19">
                  <c:v>0.19999999999999998</c:v>
                </c:pt>
                <c:pt idx="20">
                  <c:v>3.7122969837587005E-2</c:v>
                </c:pt>
                <c:pt idx="21">
                  <c:v>0.73440285204991096</c:v>
                </c:pt>
                <c:pt idx="22">
                  <c:v>0.10526315789473684</c:v>
                </c:pt>
                <c:pt idx="23">
                  <c:v>1.515923566878981</c:v>
                </c:pt>
                <c:pt idx="24">
                  <c:v>0.18750000000000003</c:v>
                </c:pt>
                <c:pt idx="25">
                  <c:v>11.571428571428573</c:v>
                </c:pt>
                <c:pt idx="26">
                  <c:v>2.25</c:v>
                </c:pt>
                <c:pt idx="27">
                  <c:v>5.3333333333333321</c:v>
                </c:pt>
                <c:pt idx="28">
                  <c:v>0.62500000000000011</c:v>
                </c:pt>
                <c:pt idx="29">
                  <c:v>2.9999999999999996</c:v>
                </c:pt>
                <c:pt idx="30">
                  <c:v>32.375</c:v>
                </c:pt>
                <c:pt idx="31">
                  <c:v>19.631578947368418</c:v>
                </c:pt>
                <c:pt idx="32">
                  <c:v>117.50000000000001</c:v>
                </c:pt>
                <c:pt idx="33">
                  <c:v>3.0499999999999994</c:v>
                </c:pt>
                <c:pt idx="34">
                  <c:v>3.1</c:v>
                </c:pt>
                <c:pt idx="35">
                  <c:v>1.3999999999999997</c:v>
                </c:pt>
                <c:pt idx="36">
                  <c:v>4.0909090909090917</c:v>
                </c:pt>
                <c:pt idx="37">
                  <c:v>0</c:v>
                </c:pt>
                <c:pt idx="38">
                  <c:v>24.333333333333332</c:v>
                </c:pt>
                <c:pt idx="39">
                  <c:v>4.9600000000000009</c:v>
                </c:pt>
                <c:pt idx="40">
                  <c:v>13.999999999999998</c:v>
                </c:pt>
                <c:pt idx="41">
                  <c:v>8.0588235294117663</c:v>
                </c:pt>
                <c:pt idx="42">
                  <c:v>26.666666666666668</c:v>
                </c:pt>
                <c:pt idx="43">
                  <c:v>8.5000000000000018</c:v>
                </c:pt>
                <c:pt idx="44">
                  <c:v>7.625</c:v>
                </c:pt>
                <c:pt idx="45">
                  <c:v>0</c:v>
                </c:pt>
                <c:pt idx="46">
                  <c:v>1.5454545454545454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11-4F60-9664-1C4CB4BD9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261151"/>
        <c:axId val="1599259231"/>
      </c:barChart>
      <c:catAx>
        <c:axId val="159926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59231"/>
        <c:crosses val="autoZero"/>
        <c:auto val="1"/>
        <c:lblAlgn val="ctr"/>
        <c:lblOffset val="100"/>
        <c:noMultiLvlLbl val="0"/>
      </c:catAx>
      <c:valAx>
        <c:axId val="1599259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2611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1000124</xdr:colOff>
      <xdr:row>28</xdr:row>
      <xdr:rowOff>33337</xdr:rowOff>
    </xdr:from>
    <xdr:to>
      <xdr:col>17</xdr:col>
      <xdr:colOff>504824</xdr:colOff>
      <xdr:row>57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E5CC7C-C9A2-FE46-1D7C-02A002A407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1038225</xdr:colOff>
      <xdr:row>57</xdr:row>
      <xdr:rowOff>133350</xdr:rowOff>
    </xdr:from>
    <xdr:to>
      <xdr:col>17</xdr:col>
      <xdr:colOff>542925</xdr:colOff>
      <xdr:row>86</xdr:row>
      <xdr:rowOff>166688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648687-0121-40DC-AEE0-29933392A9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73478</xdr:colOff>
      <xdr:row>1</xdr:row>
      <xdr:rowOff>136071</xdr:rowOff>
    </xdr:from>
    <xdr:to>
      <xdr:col>41</xdr:col>
      <xdr:colOff>283028</xdr:colOff>
      <xdr:row>43</xdr:row>
      <xdr:rowOff>107496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D7751B-90A5-FF0C-8C77-E9467325E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74838</xdr:colOff>
      <xdr:row>43</xdr:row>
      <xdr:rowOff>111578</xdr:rowOff>
    </xdr:from>
    <xdr:to>
      <xdr:col>41</xdr:col>
      <xdr:colOff>304800</xdr:colOff>
      <xdr:row>88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9168F70-1619-E87D-7F8C-BF73A0B826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6D5D3-E736-4240-A212-F34EAFFED3E9}">
  <dimension ref="A1:O77"/>
  <sheetViews>
    <sheetView topLeftCell="A42" zoomScaleNormal="100" workbookViewId="0">
      <selection activeCell="N29" sqref="N29:N75"/>
    </sheetView>
  </sheetViews>
  <sheetFormatPr defaultRowHeight="15"/>
  <cols>
    <col min="2" max="2" width="28.42578125" bestFit="1" customWidth="1"/>
    <col min="5" max="5" width="28.42578125" bestFit="1" customWidth="1"/>
    <col min="7" max="7" width="19.42578125" bestFit="1" customWidth="1"/>
    <col min="8" max="9" width="12" bestFit="1" customWidth="1"/>
    <col min="12" max="12" width="28.42578125" bestFit="1" customWidth="1"/>
    <col min="15" max="15" width="28.42578125" bestFit="1" customWidth="1"/>
  </cols>
  <sheetData>
    <row r="1" spans="1:15">
      <c r="A1" s="5" t="s">
        <v>0</v>
      </c>
      <c r="B1" s="5"/>
      <c r="D1" s="6" t="s">
        <v>1</v>
      </c>
      <c r="E1" s="6"/>
      <c r="H1" t="s">
        <v>2</v>
      </c>
      <c r="I1" t="s">
        <v>3</v>
      </c>
      <c r="K1" s="5" t="s">
        <v>0</v>
      </c>
      <c r="L1" s="5"/>
      <c r="N1" s="6" t="s">
        <v>1</v>
      </c>
      <c r="O1" s="6"/>
    </row>
    <row r="2" spans="1:15">
      <c r="A2" s="1" t="s">
        <v>4</v>
      </c>
      <c r="B2" s="1" t="s">
        <v>5</v>
      </c>
      <c r="D2" s="2" t="s">
        <v>4</v>
      </c>
      <c r="E2" s="2" t="s">
        <v>5</v>
      </c>
      <c r="G2" t="s">
        <v>6</v>
      </c>
      <c r="H2">
        <f>SUM(A3:A78)</f>
        <v>401737</v>
      </c>
      <c r="I2">
        <f>SUM(D3:D78)</f>
        <v>253137</v>
      </c>
      <c r="K2" s="1" t="s">
        <v>4</v>
      </c>
      <c r="L2" s="1" t="s">
        <v>5</v>
      </c>
      <c r="N2" s="2" t="s">
        <v>4</v>
      </c>
      <c r="O2" s="2" t="s">
        <v>5</v>
      </c>
    </row>
    <row r="3" spans="1:15">
      <c r="A3">
        <v>164802</v>
      </c>
      <c r="B3" t="s">
        <v>7</v>
      </c>
      <c r="D3">
        <v>68728</v>
      </c>
      <c r="E3" t="s">
        <v>7</v>
      </c>
      <c r="G3" t="s">
        <v>8</v>
      </c>
      <c r="H3">
        <f>(H2/3077194)*100</f>
        <v>13.055302980572561</v>
      </c>
      <c r="I3">
        <f>(I2/2679384)*100</f>
        <v>9.4475819815300834</v>
      </c>
      <c r="K3">
        <f>(A3/$H$4)*100</f>
        <v>42.196441510757658</v>
      </c>
      <c r="L3" t="s">
        <v>7</v>
      </c>
      <c r="N3">
        <f>(D3/$H$4)*100</f>
        <v>17.597341246777056</v>
      </c>
      <c r="O3" t="s">
        <v>7</v>
      </c>
    </row>
    <row r="4" spans="1:15">
      <c r="A4">
        <v>13000</v>
      </c>
      <c r="B4" t="s">
        <v>9</v>
      </c>
      <c r="D4">
        <v>6307</v>
      </c>
      <c r="E4" t="s">
        <v>9</v>
      </c>
      <c r="G4" t="s">
        <v>10</v>
      </c>
      <c r="H4">
        <f>SUM(A3:A28)</f>
        <v>390559</v>
      </c>
      <c r="I4">
        <f>SUM(D3:D28)</f>
        <v>240487</v>
      </c>
      <c r="K4">
        <f t="shared" ref="K4:K28" si="0">(A4/$H$4)*100</f>
        <v>3.3285623939020734</v>
      </c>
      <c r="L4" t="s">
        <v>9</v>
      </c>
      <c r="N4">
        <f t="shared" ref="N4:N28" si="1">(D4/$H$4)*100</f>
        <v>1.6148648475646443</v>
      </c>
      <c r="O4" t="s">
        <v>9</v>
      </c>
    </row>
    <row r="5" spans="1:15">
      <c r="A5">
        <v>5431</v>
      </c>
      <c r="B5" t="s">
        <v>11</v>
      </c>
      <c r="D5">
        <v>4250</v>
      </c>
      <c r="E5" t="s">
        <v>11</v>
      </c>
      <c r="G5" t="s">
        <v>12</v>
      </c>
      <c r="H5">
        <f>H4/H2</f>
        <v>0.97217582647353862</v>
      </c>
      <c r="I5">
        <f>I4/I2</f>
        <v>0.95002706044552954</v>
      </c>
      <c r="K5">
        <f t="shared" si="0"/>
        <v>1.3905709508678585</v>
      </c>
      <c r="L5" t="s">
        <v>11</v>
      </c>
      <c r="N5">
        <f t="shared" si="1"/>
        <v>1.0881838595449087</v>
      </c>
      <c r="O5" t="s">
        <v>11</v>
      </c>
    </row>
    <row r="6" spans="1:15">
      <c r="A6">
        <v>53103</v>
      </c>
      <c r="B6" t="s">
        <v>13</v>
      </c>
      <c r="D6">
        <v>52199</v>
      </c>
      <c r="E6" t="s">
        <v>13</v>
      </c>
      <c r="G6" t="s">
        <v>14</v>
      </c>
      <c r="H6">
        <f>SUM(A29:A76)</f>
        <v>11170</v>
      </c>
      <c r="I6">
        <f>SUM(D29:D76)</f>
        <v>12647</v>
      </c>
      <c r="K6">
        <f t="shared" si="0"/>
        <v>13.596665292567833</v>
      </c>
      <c r="L6" t="s">
        <v>13</v>
      </c>
      <c r="N6">
        <f t="shared" si="1"/>
        <v>13.365202184561104</v>
      </c>
      <c r="O6" t="s">
        <v>13</v>
      </c>
    </row>
    <row r="7" spans="1:15">
      <c r="A7">
        <v>7667</v>
      </c>
      <c r="B7" t="s">
        <v>15</v>
      </c>
      <c r="D7">
        <v>3547</v>
      </c>
      <c r="E7" t="s">
        <v>15</v>
      </c>
      <c r="G7" t="s">
        <v>16</v>
      </c>
      <c r="H7">
        <f>H6/H2</f>
        <v>2.7804260000945893E-2</v>
      </c>
      <c r="I7">
        <f>I6/I2</f>
        <v>4.9961088264457588E-2</v>
      </c>
      <c r="K7">
        <f t="shared" si="0"/>
        <v>1.9630836826190152</v>
      </c>
      <c r="L7" t="s">
        <v>15</v>
      </c>
      <c r="N7">
        <f t="shared" si="1"/>
        <v>0.90818544701312731</v>
      </c>
      <c r="O7" t="s">
        <v>15</v>
      </c>
    </row>
    <row r="8" spans="1:15">
      <c r="A8">
        <v>8115</v>
      </c>
      <c r="B8" t="s">
        <v>17</v>
      </c>
      <c r="D8">
        <v>1557</v>
      </c>
      <c r="E8" t="s">
        <v>17</v>
      </c>
      <c r="G8" t="s">
        <v>18</v>
      </c>
      <c r="H8">
        <f>SUM(A29:A52)</f>
        <v>10889</v>
      </c>
      <c r="I8">
        <f>SUM(D29:D52)</f>
        <v>10475</v>
      </c>
      <c r="K8">
        <f t="shared" si="0"/>
        <v>2.0777910635781023</v>
      </c>
      <c r="L8" t="s">
        <v>17</v>
      </c>
      <c r="N8">
        <f t="shared" si="1"/>
        <v>0.39865935748504067</v>
      </c>
      <c r="O8" t="s">
        <v>17</v>
      </c>
    </row>
    <row r="9" spans="1:15">
      <c r="A9">
        <v>7577</v>
      </c>
      <c r="B9" t="s">
        <v>19</v>
      </c>
      <c r="D9">
        <v>4013</v>
      </c>
      <c r="E9" t="s">
        <v>19</v>
      </c>
      <c r="G9" t="s">
        <v>20</v>
      </c>
      <c r="H9">
        <f>H8/H2</f>
        <v>2.7104797417215741E-2</v>
      </c>
      <c r="I9">
        <f>I8/I2</f>
        <v>4.1380754295105023E-2</v>
      </c>
      <c r="K9">
        <f t="shared" si="0"/>
        <v>1.9400397891227703</v>
      </c>
      <c r="L9" t="s">
        <v>19</v>
      </c>
      <c r="N9">
        <f t="shared" si="1"/>
        <v>1.0275016066714633</v>
      </c>
      <c r="O9" t="s">
        <v>19</v>
      </c>
    </row>
    <row r="10" spans="1:15">
      <c r="A10">
        <v>7586</v>
      </c>
      <c r="B10" t="s">
        <v>21</v>
      </c>
      <c r="D10">
        <v>6551</v>
      </c>
      <c r="E10" t="s">
        <v>21</v>
      </c>
      <c r="G10" t="s">
        <v>22</v>
      </c>
      <c r="H10">
        <f>SUM(A53:A76)</f>
        <v>281</v>
      </c>
      <c r="I10">
        <f>SUM(D53:D76)</f>
        <v>2172</v>
      </c>
      <c r="K10">
        <f t="shared" si="0"/>
        <v>1.9423441784723949</v>
      </c>
      <c r="L10" t="s">
        <v>21</v>
      </c>
      <c r="N10">
        <f t="shared" si="1"/>
        <v>1.6773394032655757</v>
      </c>
      <c r="O10" t="s">
        <v>21</v>
      </c>
    </row>
    <row r="11" spans="1:15">
      <c r="A11">
        <v>9028</v>
      </c>
      <c r="B11" t="s">
        <v>23</v>
      </c>
      <c r="D11">
        <v>7222</v>
      </c>
      <c r="E11" t="s">
        <v>23</v>
      </c>
      <c r="G11" t="s">
        <v>24</v>
      </c>
      <c r="H11">
        <f>H10/H2</f>
        <v>6.9946258373015187E-4</v>
      </c>
      <c r="I11">
        <f>I10/I2</f>
        <v>8.5803339693525642E-3</v>
      </c>
      <c r="K11">
        <f t="shared" si="0"/>
        <v>2.3115585609344556</v>
      </c>
      <c r="L11" t="s">
        <v>23</v>
      </c>
      <c r="N11">
        <f t="shared" si="1"/>
        <v>1.8491444314431367</v>
      </c>
      <c r="O11" t="s">
        <v>23</v>
      </c>
    </row>
    <row r="12" spans="1:15">
      <c r="A12">
        <v>4764</v>
      </c>
      <c r="B12" t="s">
        <v>25</v>
      </c>
      <c r="D12">
        <v>2599</v>
      </c>
      <c r="E12" t="s">
        <v>25</v>
      </c>
      <c r="G12" t="s">
        <v>26</v>
      </c>
      <c r="H12">
        <f>(D27+D28)/H2</f>
        <v>5.6935258639358582E-2</v>
      </c>
      <c r="I12">
        <f>(D27+D28)/I2</f>
        <v>9.0358185488490422E-2</v>
      </c>
      <c r="K12">
        <f t="shared" si="0"/>
        <v>1.2197900957345753</v>
      </c>
      <c r="L12" t="s">
        <v>25</v>
      </c>
      <c r="N12">
        <f t="shared" si="1"/>
        <v>0.66545643551934541</v>
      </c>
      <c r="O12" t="s">
        <v>25</v>
      </c>
    </row>
    <row r="13" spans="1:15">
      <c r="A13">
        <v>7354</v>
      </c>
      <c r="B13" t="s">
        <v>27</v>
      </c>
      <c r="D13">
        <v>6096</v>
      </c>
      <c r="E13" t="s">
        <v>27</v>
      </c>
      <c r="G13" t="s">
        <v>28</v>
      </c>
      <c r="H13">
        <f>(A52+A76)/H2</f>
        <v>1.1748980054115006E-3</v>
      </c>
      <c r="I13">
        <f>(D52+D76)/I2</f>
        <v>2.8324583130873797E-3</v>
      </c>
      <c r="K13">
        <f t="shared" si="0"/>
        <v>1.8829421419042962</v>
      </c>
      <c r="L13" t="s">
        <v>27</v>
      </c>
      <c r="N13">
        <f t="shared" si="1"/>
        <v>1.5608397194790031</v>
      </c>
      <c r="O13" t="s">
        <v>27</v>
      </c>
    </row>
    <row r="14" spans="1:15">
      <c r="A14">
        <v>7966</v>
      </c>
      <c r="B14" t="s">
        <v>29</v>
      </c>
      <c r="D14">
        <v>5774</v>
      </c>
      <c r="E14" t="s">
        <v>29</v>
      </c>
      <c r="G14" t="s">
        <v>30</v>
      </c>
      <c r="H14">
        <f>A3/H2</f>
        <v>0.41022360399963159</v>
      </c>
      <c r="I14">
        <f>D3/I2</f>
        <v>0.27150515333594061</v>
      </c>
      <c r="K14">
        <f t="shared" si="0"/>
        <v>2.0396406176787627</v>
      </c>
      <c r="L14" t="s">
        <v>29</v>
      </c>
      <c r="N14">
        <f t="shared" si="1"/>
        <v>1.4783937894146595</v>
      </c>
      <c r="O14" t="s">
        <v>29</v>
      </c>
    </row>
    <row r="15" spans="1:15">
      <c r="A15">
        <v>3925</v>
      </c>
      <c r="B15" t="s">
        <v>31</v>
      </c>
      <c r="D15">
        <v>1683</v>
      </c>
      <c r="E15" t="s">
        <v>31</v>
      </c>
      <c r="K15">
        <f t="shared" si="0"/>
        <v>1.004969799697357</v>
      </c>
      <c r="L15" t="s">
        <v>31</v>
      </c>
      <c r="N15">
        <f t="shared" si="1"/>
        <v>0.43092080837978386</v>
      </c>
      <c r="O15" t="s">
        <v>31</v>
      </c>
    </row>
    <row r="16" spans="1:15">
      <c r="A16">
        <v>5865</v>
      </c>
      <c r="B16" t="s">
        <v>32</v>
      </c>
      <c r="D16">
        <v>5003</v>
      </c>
      <c r="E16" t="s">
        <v>32</v>
      </c>
      <c r="K16">
        <f t="shared" si="0"/>
        <v>1.5016937261719741</v>
      </c>
      <c r="L16" t="s">
        <v>32</v>
      </c>
      <c r="N16">
        <f t="shared" si="1"/>
        <v>1.2809844351301596</v>
      </c>
      <c r="O16" t="s">
        <v>32</v>
      </c>
    </row>
    <row r="17" spans="1:15">
      <c r="A17">
        <v>7786</v>
      </c>
      <c r="B17" t="s">
        <v>33</v>
      </c>
      <c r="D17">
        <v>2124</v>
      </c>
      <c r="E17" t="s">
        <v>33</v>
      </c>
      <c r="K17">
        <f t="shared" si="0"/>
        <v>1.9935528306862726</v>
      </c>
      <c r="L17" t="s">
        <v>33</v>
      </c>
      <c r="N17">
        <f t="shared" si="1"/>
        <v>0.54383588651138492</v>
      </c>
      <c r="O17" t="s">
        <v>33</v>
      </c>
    </row>
    <row r="18" spans="1:15">
      <c r="A18">
        <v>7225</v>
      </c>
      <c r="B18" t="s">
        <v>34</v>
      </c>
      <c r="D18">
        <v>3548</v>
      </c>
      <c r="E18" t="s">
        <v>34</v>
      </c>
      <c r="K18">
        <f t="shared" si="0"/>
        <v>1.8499125612263447</v>
      </c>
      <c r="L18" t="s">
        <v>34</v>
      </c>
      <c r="N18">
        <f t="shared" si="1"/>
        <v>0.90844149027419674</v>
      </c>
      <c r="O18" t="s">
        <v>34</v>
      </c>
    </row>
    <row r="19" spans="1:15">
      <c r="A19">
        <v>16430</v>
      </c>
      <c r="B19" t="s">
        <v>35</v>
      </c>
      <c r="D19">
        <v>14670</v>
      </c>
      <c r="E19" t="s">
        <v>35</v>
      </c>
      <c r="K19">
        <f t="shared" si="0"/>
        <v>4.2067907793700821</v>
      </c>
      <c r="L19" t="s">
        <v>35</v>
      </c>
      <c r="N19">
        <f t="shared" si="1"/>
        <v>3.7561546398879555</v>
      </c>
      <c r="O19" t="s">
        <v>35</v>
      </c>
    </row>
    <row r="20" spans="1:15">
      <c r="A20">
        <v>6293</v>
      </c>
      <c r="B20" t="s">
        <v>36</v>
      </c>
      <c r="D20">
        <v>3956</v>
      </c>
      <c r="E20" t="s">
        <v>36</v>
      </c>
      <c r="K20">
        <f t="shared" si="0"/>
        <v>1.6112802419096732</v>
      </c>
      <c r="L20" t="s">
        <v>36</v>
      </c>
      <c r="N20">
        <f t="shared" si="1"/>
        <v>1.0129071407905079</v>
      </c>
      <c r="O20" t="s">
        <v>36</v>
      </c>
    </row>
    <row r="21" spans="1:15">
      <c r="A21">
        <v>5948</v>
      </c>
      <c r="B21" t="s">
        <v>37</v>
      </c>
      <c r="D21">
        <v>2612</v>
      </c>
      <c r="E21" t="s">
        <v>37</v>
      </c>
      <c r="K21">
        <f t="shared" si="0"/>
        <v>1.5229453168407334</v>
      </c>
      <c r="L21" t="s">
        <v>37</v>
      </c>
      <c r="N21">
        <f t="shared" si="1"/>
        <v>0.66878499791324741</v>
      </c>
      <c r="O21" t="s">
        <v>37</v>
      </c>
    </row>
    <row r="22" spans="1:15">
      <c r="A22">
        <v>8153</v>
      </c>
      <c r="B22" t="s">
        <v>38</v>
      </c>
      <c r="D22">
        <v>7163</v>
      </c>
      <c r="E22" t="s">
        <v>38</v>
      </c>
      <c r="K22">
        <f t="shared" si="0"/>
        <v>2.0875207074987392</v>
      </c>
      <c r="L22" t="s">
        <v>38</v>
      </c>
      <c r="N22">
        <f t="shared" si="1"/>
        <v>1.8340378790400427</v>
      </c>
      <c r="O22" t="s">
        <v>38</v>
      </c>
    </row>
    <row r="23" spans="1:15">
      <c r="A23">
        <v>21</v>
      </c>
      <c r="B23" t="s">
        <v>39</v>
      </c>
      <c r="D23">
        <v>34</v>
      </c>
      <c r="E23" t="s">
        <v>39</v>
      </c>
      <c r="K23">
        <f t="shared" si="0"/>
        <v>5.3769084824571963E-3</v>
      </c>
      <c r="L23" t="s">
        <v>39</v>
      </c>
      <c r="N23">
        <f t="shared" si="1"/>
        <v>8.7054708763592697E-3</v>
      </c>
      <c r="O23" t="s">
        <v>39</v>
      </c>
    </row>
    <row r="24" spans="1:15">
      <c r="A24">
        <v>6810</v>
      </c>
      <c r="B24" t="s">
        <v>40</v>
      </c>
      <c r="D24">
        <v>2966</v>
      </c>
      <c r="E24" t="s">
        <v>40</v>
      </c>
      <c r="K24">
        <f t="shared" si="0"/>
        <v>1.7436546078825479</v>
      </c>
      <c r="L24" t="s">
        <v>40</v>
      </c>
      <c r="N24">
        <f t="shared" si="1"/>
        <v>0.75942431233181162</v>
      </c>
      <c r="O24" t="s">
        <v>40</v>
      </c>
    </row>
    <row r="25" spans="1:15">
      <c r="A25">
        <v>8871</v>
      </c>
      <c r="B25" t="s">
        <v>41</v>
      </c>
      <c r="D25">
        <v>4446</v>
      </c>
      <c r="E25" t="s">
        <v>41</v>
      </c>
      <c r="K25">
        <f t="shared" si="0"/>
        <v>2.271359768946561</v>
      </c>
      <c r="L25" t="s">
        <v>41</v>
      </c>
      <c r="N25">
        <f t="shared" si="1"/>
        <v>1.1383683387145092</v>
      </c>
      <c r="O25" t="s">
        <v>41</v>
      </c>
    </row>
    <row r="26" spans="1:15">
      <c r="A26">
        <v>1264</v>
      </c>
      <c r="B26" t="s">
        <v>42</v>
      </c>
      <c r="D26">
        <v>566</v>
      </c>
      <c r="E26" t="s">
        <v>42</v>
      </c>
      <c r="K26">
        <f t="shared" si="0"/>
        <v>0.32363868199170931</v>
      </c>
      <c r="L26" t="s">
        <v>42</v>
      </c>
      <c r="N26">
        <f t="shared" si="1"/>
        <v>0.14492048576527491</v>
      </c>
      <c r="O26" t="s">
        <v>42</v>
      </c>
    </row>
    <row r="27" spans="1:15">
      <c r="A27">
        <v>13004</v>
      </c>
      <c r="B27" t="s">
        <v>43</v>
      </c>
      <c r="D27">
        <v>20548</v>
      </c>
      <c r="E27" t="s">
        <v>43</v>
      </c>
      <c r="K27">
        <f t="shared" si="0"/>
        <v>3.3295865669463511</v>
      </c>
      <c r="L27" t="s">
        <v>43</v>
      </c>
      <c r="N27">
        <f t="shared" si="1"/>
        <v>5.261176928453831</v>
      </c>
      <c r="O27" t="s">
        <v>43</v>
      </c>
    </row>
    <row r="28" spans="1:15">
      <c r="A28">
        <v>2571</v>
      </c>
      <c r="B28" t="s">
        <v>44</v>
      </c>
      <c r="D28">
        <v>2325</v>
      </c>
      <c r="E28" t="s">
        <v>44</v>
      </c>
      <c r="K28">
        <f t="shared" si="0"/>
        <v>0.65828722420940244</v>
      </c>
      <c r="L28" t="s">
        <v>44</v>
      </c>
      <c r="N28">
        <f t="shared" si="1"/>
        <v>0.5953005819863324</v>
      </c>
      <c r="O28" t="s">
        <v>44</v>
      </c>
    </row>
    <row r="29" spans="1:15">
      <c r="A29">
        <v>1012</v>
      </c>
      <c r="B29" t="s">
        <v>45</v>
      </c>
      <c r="D29">
        <v>127</v>
      </c>
      <c r="E29" t="s">
        <v>45</v>
      </c>
      <c r="K29">
        <f>(A29/$H$8)*100</f>
        <v>9.2937827165028928</v>
      </c>
      <c r="L29" t="s">
        <v>45</v>
      </c>
      <c r="N29">
        <f>(D29/$H$8)*100</f>
        <v>1.1663146294425566</v>
      </c>
      <c r="O29" t="s">
        <v>45</v>
      </c>
    </row>
    <row r="30" spans="1:15">
      <c r="A30">
        <v>208</v>
      </c>
      <c r="B30" t="s">
        <v>46</v>
      </c>
      <c r="D30">
        <v>733</v>
      </c>
      <c r="E30" t="s">
        <v>46</v>
      </c>
      <c r="K30">
        <f t="shared" ref="K30:K53" si="2">(A30/$H$8)*100</f>
        <v>1.9101845899531635</v>
      </c>
      <c r="L30" t="s">
        <v>46</v>
      </c>
      <c r="N30">
        <f t="shared" ref="N30:N52" si="3">(D30/$H$8)*100</f>
        <v>6.7315639636330236</v>
      </c>
      <c r="O30" t="s">
        <v>46</v>
      </c>
    </row>
    <row r="31" spans="1:15">
      <c r="A31">
        <v>2627</v>
      </c>
      <c r="B31" t="s">
        <v>47</v>
      </c>
      <c r="D31">
        <v>3628</v>
      </c>
      <c r="E31" t="s">
        <v>47</v>
      </c>
      <c r="K31">
        <f t="shared" si="2"/>
        <v>24.125264027918085</v>
      </c>
      <c r="L31" t="s">
        <v>47</v>
      </c>
      <c r="N31">
        <f t="shared" si="3"/>
        <v>33.318027367067685</v>
      </c>
      <c r="O31" t="s">
        <v>47</v>
      </c>
    </row>
    <row r="32" spans="1:15">
      <c r="A32">
        <v>460</v>
      </c>
      <c r="B32" t="s">
        <v>48</v>
      </c>
      <c r="D32">
        <v>55</v>
      </c>
      <c r="E32" t="s">
        <v>48</v>
      </c>
      <c r="K32">
        <f t="shared" si="2"/>
        <v>4.224446689319497</v>
      </c>
      <c r="L32" t="s">
        <v>48</v>
      </c>
      <c r="N32">
        <f t="shared" si="3"/>
        <v>0.50509688676646158</v>
      </c>
      <c r="O32" t="s">
        <v>48</v>
      </c>
    </row>
    <row r="33" spans="1:15">
      <c r="A33">
        <v>302</v>
      </c>
      <c r="B33" t="s">
        <v>49</v>
      </c>
      <c r="D33">
        <v>49</v>
      </c>
      <c r="E33" t="s">
        <v>49</v>
      </c>
      <c r="K33">
        <f t="shared" si="2"/>
        <v>2.7734410873358435</v>
      </c>
      <c r="L33" t="s">
        <v>49</v>
      </c>
      <c r="N33">
        <f t="shared" si="3"/>
        <v>0.4499954082101203</v>
      </c>
      <c r="O33" t="s">
        <v>49</v>
      </c>
    </row>
    <row r="34" spans="1:15">
      <c r="A34">
        <v>566</v>
      </c>
      <c r="B34" t="s">
        <v>50</v>
      </c>
      <c r="D34">
        <v>90</v>
      </c>
      <c r="E34" t="s">
        <v>50</v>
      </c>
      <c r="K34">
        <f t="shared" si="2"/>
        <v>5.1979061438148584</v>
      </c>
      <c r="L34" t="s">
        <v>50</v>
      </c>
      <c r="N34">
        <f t="shared" si="3"/>
        <v>0.82652217834511887</v>
      </c>
      <c r="O34" t="s">
        <v>50</v>
      </c>
    </row>
    <row r="35" spans="1:15">
      <c r="A35">
        <v>138</v>
      </c>
      <c r="B35" t="s">
        <v>51</v>
      </c>
      <c r="D35">
        <v>348</v>
      </c>
      <c r="E35" t="s">
        <v>51</v>
      </c>
      <c r="K35">
        <f t="shared" si="2"/>
        <v>1.267334006795849</v>
      </c>
      <c r="L35" t="s">
        <v>51</v>
      </c>
      <c r="N35">
        <f t="shared" si="3"/>
        <v>3.1958857562677934</v>
      </c>
      <c r="O35" t="s">
        <v>51</v>
      </c>
    </row>
    <row r="36" spans="1:15">
      <c r="A36">
        <v>92</v>
      </c>
      <c r="B36" t="s">
        <v>52</v>
      </c>
      <c r="D36">
        <v>915</v>
      </c>
      <c r="E36" t="s">
        <v>52</v>
      </c>
      <c r="K36">
        <f t="shared" si="2"/>
        <v>0.84488933786389941</v>
      </c>
      <c r="L36" t="s">
        <v>52</v>
      </c>
      <c r="N36">
        <f t="shared" si="3"/>
        <v>8.4029754798420431</v>
      </c>
      <c r="O36" t="s">
        <v>52</v>
      </c>
    </row>
    <row r="37" spans="1:15">
      <c r="A37">
        <v>426</v>
      </c>
      <c r="B37" t="s">
        <v>53</v>
      </c>
      <c r="D37">
        <v>236</v>
      </c>
      <c r="E37" t="s">
        <v>53</v>
      </c>
      <c r="K37">
        <f t="shared" si="2"/>
        <v>3.9122049775002297</v>
      </c>
      <c r="L37" t="s">
        <v>53</v>
      </c>
      <c r="N37">
        <f t="shared" si="3"/>
        <v>2.1673248232160898</v>
      </c>
      <c r="O37" t="s">
        <v>53</v>
      </c>
    </row>
    <row r="38" spans="1:15">
      <c r="A38">
        <v>266</v>
      </c>
      <c r="B38" t="s">
        <v>54</v>
      </c>
      <c r="D38">
        <v>730</v>
      </c>
      <c r="E38" t="s">
        <v>54</v>
      </c>
      <c r="K38">
        <f t="shared" si="2"/>
        <v>2.4428322159977962</v>
      </c>
      <c r="L38" t="s">
        <v>54</v>
      </c>
      <c r="N38">
        <f t="shared" si="3"/>
        <v>6.7040132243548527</v>
      </c>
      <c r="O38" t="s">
        <v>54</v>
      </c>
    </row>
    <row r="39" spans="1:15">
      <c r="A39">
        <v>302</v>
      </c>
      <c r="B39" t="s">
        <v>55</v>
      </c>
      <c r="D39">
        <v>394</v>
      </c>
      <c r="E39" t="s">
        <v>55</v>
      </c>
      <c r="K39">
        <f t="shared" si="2"/>
        <v>2.7734410873358435</v>
      </c>
      <c r="L39" t="s">
        <v>55</v>
      </c>
      <c r="N39">
        <f t="shared" si="3"/>
        <v>3.6183304251997428</v>
      </c>
      <c r="O39" t="s">
        <v>55</v>
      </c>
    </row>
    <row r="40" spans="1:15">
      <c r="A40">
        <v>313</v>
      </c>
      <c r="B40" t="s">
        <v>56</v>
      </c>
      <c r="D40">
        <v>147</v>
      </c>
      <c r="E40" t="s">
        <v>56</v>
      </c>
      <c r="K40">
        <f t="shared" si="2"/>
        <v>2.8744604646891361</v>
      </c>
      <c r="L40" t="s">
        <v>56</v>
      </c>
      <c r="N40">
        <f t="shared" si="3"/>
        <v>1.3499862246303609</v>
      </c>
      <c r="O40" t="s">
        <v>56</v>
      </c>
    </row>
    <row r="41" spans="1:15">
      <c r="A41">
        <v>107</v>
      </c>
      <c r="B41" t="s">
        <v>57</v>
      </c>
      <c r="D41">
        <v>280</v>
      </c>
      <c r="E41" t="s">
        <v>57</v>
      </c>
      <c r="K41">
        <f t="shared" si="2"/>
        <v>0.98264303425475252</v>
      </c>
      <c r="L41" t="s">
        <v>57</v>
      </c>
      <c r="N41">
        <f t="shared" si="3"/>
        <v>2.5714023326292588</v>
      </c>
      <c r="O41" t="s">
        <v>57</v>
      </c>
    </row>
    <row r="42" spans="1:15">
      <c r="A42">
        <v>576</v>
      </c>
      <c r="B42" t="s">
        <v>58</v>
      </c>
      <c r="D42">
        <v>292</v>
      </c>
      <c r="E42" t="s">
        <v>58</v>
      </c>
      <c r="K42">
        <f t="shared" si="2"/>
        <v>5.289741941408761</v>
      </c>
      <c r="L42" t="s">
        <v>58</v>
      </c>
      <c r="N42">
        <f t="shared" si="3"/>
        <v>2.6816052897419413</v>
      </c>
      <c r="O42" t="s">
        <v>58</v>
      </c>
    </row>
    <row r="43" spans="1:15">
      <c r="A43">
        <v>301</v>
      </c>
      <c r="B43" t="s">
        <v>59</v>
      </c>
      <c r="D43">
        <v>133</v>
      </c>
      <c r="E43" t="s">
        <v>59</v>
      </c>
      <c r="K43">
        <f t="shared" si="2"/>
        <v>2.7642575075764531</v>
      </c>
      <c r="L43" t="s">
        <v>59</v>
      </c>
      <c r="N43">
        <f t="shared" si="3"/>
        <v>1.2214161079988981</v>
      </c>
      <c r="O43" t="s">
        <v>59</v>
      </c>
    </row>
    <row r="44" spans="1:15">
      <c r="A44">
        <v>237</v>
      </c>
      <c r="B44" t="s">
        <v>60</v>
      </c>
      <c r="D44">
        <v>261</v>
      </c>
      <c r="E44" t="s">
        <v>60</v>
      </c>
      <c r="K44">
        <f t="shared" si="2"/>
        <v>2.1765084029754798</v>
      </c>
      <c r="L44" t="s">
        <v>60</v>
      </c>
      <c r="N44">
        <f t="shared" si="3"/>
        <v>2.3969143172008449</v>
      </c>
      <c r="O44" t="s">
        <v>60</v>
      </c>
    </row>
    <row r="45" spans="1:15">
      <c r="A45">
        <v>355</v>
      </c>
      <c r="B45" t="s">
        <v>61</v>
      </c>
      <c r="D45">
        <v>119</v>
      </c>
      <c r="E45" t="s">
        <v>61</v>
      </c>
      <c r="K45">
        <f t="shared" si="2"/>
        <v>3.2601708145835246</v>
      </c>
      <c r="L45" t="s">
        <v>61</v>
      </c>
      <c r="N45">
        <f t="shared" si="3"/>
        <v>1.0928459913674349</v>
      </c>
      <c r="O45" t="s">
        <v>61</v>
      </c>
    </row>
    <row r="46" spans="1:15">
      <c r="A46">
        <v>820</v>
      </c>
      <c r="B46" t="s">
        <v>62</v>
      </c>
      <c r="D46">
        <v>57</v>
      </c>
      <c r="E46" t="s">
        <v>62</v>
      </c>
      <c r="K46">
        <f t="shared" si="2"/>
        <v>7.5305354026999725</v>
      </c>
      <c r="L46" t="s">
        <v>62</v>
      </c>
      <c r="N46">
        <f t="shared" si="3"/>
        <v>0.52346404628524201</v>
      </c>
      <c r="O46" t="s">
        <v>62</v>
      </c>
    </row>
    <row r="47" spans="1:15">
      <c r="A47">
        <v>275</v>
      </c>
      <c r="B47" t="s">
        <v>63</v>
      </c>
      <c r="D47">
        <v>734</v>
      </c>
      <c r="E47" t="s">
        <v>63</v>
      </c>
      <c r="K47">
        <f t="shared" si="2"/>
        <v>2.5254844338323079</v>
      </c>
      <c r="L47" t="s">
        <v>63</v>
      </c>
      <c r="N47">
        <f t="shared" si="3"/>
        <v>6.7407475433924144</v>
      </c>
      <c r="O47" t="s">
        <v>63</v>
      </c>
    </row>
    <row r="48" spans="1:15">
      <c r="A48">
        <v>5</v>
      </c>
      <c r="B48" t="s">
        <v>64</v>
      </c>
      <c r="D48">
        <v>1</v>
      </c>
      <c r="E48" t="s">
        <v>64</v>
      </c>
      <c r="K48">
        <f t="shared" si="2"/>
        <v>4.5917898796951052E-2</v>
      </c>
      <c r="L48" t="s">
        <v>64</v>
      </c>
      <c r="N48">
        <f t="shared" si="3"/>
        <v>9.1835797593902094E-3</v>
      </c>
      <c r="O48" t="s">
        <v>64</v>
      </c>
    </row>
    <row r="49" spans="1:15">
      <c r="A49">
        <v>431</v>
      </c>
      <c r="B49" t="s">
        <v>65</v>
      </c>
      <c r="D49">
        <v>16</v>
      </c>
      <c r="E49" t="s">
        <v>65</v>
      </c>
      <c r="K49">
        <f t="shared" si="2"/>
        <v>3.9581228762971805</v>
      </c>
      <c r="L49" t="s">
        <v>65</v>
      </c>
      <c r="N49">
        <f t="shared" si="3"/>
        <v>0.14693727615024335</v>
      </c>
      <c r="O49" t="s">
        <v>65</v>
      </c>
    </row>
    <row r="50" spans="1:15">
      <c r="A50">
        <v>561</v>
      </c>
      <c r="B50" t="s">
        <v>66</v>
      </c>
      <c r="D50">
        <v>412</v>
      </c>
      <c r="E50" t="s">
        <v>66</v>
      </c>
      <c r="K50">
        <f t="shared" si="2"/>
        <v>5.1519882450179075</v>
      </c>
      <c r="L50" t="s">
        <v>66</v>
      </c>
      <c r="N50">
        <f t="shared" si="3"/>
        <v>3.7836348608687667</v>
      </c>
      <c r="O50" t="s">
        <v>66</v>
      </c>
    </row>
    <row r="51" spans="1:15">
      <c r="A51">
        <v>38</v>
      </c>
      <c r="B51" t="s">
        <v>67</v>
      </c>
      <c r="D51">
        <v>4</v>
      </c>
      <c r="E51" t="s">
        <v>67</v>
      </c>
      <c r="K51">
        <f t="shared" si="2"/>
        <v>0.34897603085682799</v>
      </c>
      <c r="L51" t="s">
        <v>67</v>
      </c>
      <c r="N51">
        <f t="shared" si="3"/>
        <v>3.6734319037560838E-2</v>
      </c>
      <c r="O51" t="s">
        <v>67</v>
      </c>
    </row>
    <row r="52" spans="1:15">
      <c r="A52">
        <v>471</v>
      </c>
      <c r="B52" t="s">
        <v>68</v>
      </c>
      <c r="D52">
        <v>714</v>
      </c>
      <c r="E52" t="s">
        <v>68</v>
      </c>
      <c r="K52">
        <f t="shared" si="2"/>
        <v>4.3254660666727887</v>
      </c>
      <c r="L52" t="s">
        <v>68</v>
      </c>
      <c r="N52">
        <f t="shared" si="3"/>
        <v>6.5570759482046101</v>
      </c>
      <c r="O52" t="s">
        <v>68</v>
      </c>
    </row>
    <row r="53" spans="1:15">
      <c r="A53">
        <v>16</v>
      </c>
      <c r="B53" t="s">
        <v>69</v>
      </c>
      <c r="D53">
        <v>3</v>
      </c>
      <c r="E53" t="s">
        <v>69</v>
      </c>
      <c r="K53">
        <f>(A53/$H$10)*100</f>
        <v>5.6939501779359425</v>
      </c>
      <c r="L53" t="s">
        <v>69</v>
      </c>
      <c r="N53">
        <f>(D53/$H$10)*100</f>
        <v>1.0676156583629894</v>
      </c>
      <c r="O53" t="s">
        <v>69</v>
      </c>
    </row>
    <row r="54" spans="1:15">
      <c r="A54">
        <v>7</v>
      </c>
      <c r="B54" t="s">
        <v>70</v>
      </c>
      <c r="D54">
        <v>81</v>
      </c>
      <c r="E54" t="s">
        <v>70</v>
      </c>
      <c r="K54">
        <f t="shared" ref="K54:K76" si="4">(A54/$H$10)*100</f>
        <v>2.4911032028469751</v>
      </c>
      <c r="L54" t="s">
        <v>70</v>
      </c>
      <c r="N54">
        <f t="shared" ref="N54:N76" si="5">(D54/$H$10)*100</f>
        <v>28.825622775800714</v>
      </c>
      <c r="O54" t="s">
        <v>70</v>
      </c>
    </row>
    <row r="55" spans="1:15">
      <c r="A55">
        <v>36</v>
      </c>
      <c r="B55" t="s">
        <v>71</v>
      </c>
      <c r="D55">
        <v>81</v>
      </c>
      <c r="E55" t="s">
        <v>71</v>
      </c>
      <c r="K55">
        <f t="shared" si="4"/>
        <v>12.811387900355871</v>
      </c>
      <c r="L55" t="s">
        <v>71</v>
      </c>
      <c r="N55">
        <f t="shared" si="5"/>
        <v>28.825622775800714</v>
      </c>
      <c r="O55" t="s">
        <v>71</v>
      </c>
    </row>
    <row r="56" spans="1:15">
      <c r="A56">
        <v>6</v>
      </c>
      <c r="B56" t="s">
        <v>72</v>
      </c>
      <c r="D56">
        <v>32</v>
      </c>
      <c r="E56" t="s">
        <v>72</v>
      </c>
      <c r="K56">
        <f t="shared" si="4"/>
        <v>2.1352313167259789</v>
      </c>
      <c r="L56" t="s">
        <v>72</v>
      </c>
      <c r="N56">
        <f t="shared" si="5"/>
        <v>11.387900355871885</v>
      </c>
      <c r="O56" t="s">
        <v>72</v>
      </c>
    </row>
    <row r="57" spans="1:15">
      <c r="A57">
        <v>16</v>
      </c>
      <c r="B57" t="s">
        <v>73</v>
      </c>
      <c r="D57">
        <v>10</v>
      </c>
      <c r="E57" t="s">
        <v>73</v>
      </c>
      <c r="K57">
        <f t="shared" si="4"/>
        <v>5.6939501779359425</v>
      </c>
      <c r="L57" t="s">
        <v>73</v>
      </c>
      <c r="N57">
        <f t="shared" si="5"/>
        <v>3.5587188612099649</v>
      </c>
      <c r="O57" t="s">
        <v>73</v>
      </c>
    </row>
    <row r="58" spans="1:15">
      <c r="A58">
        <v>5</v>
      </c>
      <c r="B58" t="s">
        <v>74</v>
      </c>
      <c r="D58">
        <v>15</v>
      </c>
      <c r="E58" t="s">
        <v>74</v>
      </c>
      <c r="K58">
        <f t="shared" si="4"/>
        <v>1.7793594306049825</v>
      </c>
      <c r="L58" t="s">
        <v>74</v>
      </c>
      <c r="N58">
        <f t="shared" si="5"/>
        <v>5.3380782918149468</v>
      </c>
      <c r="O58" t="s">
        <v>74</v>
      </c>
    </row>
    <row r="59" spans="1:15">
      <c r="A59">
        <v>8</v>
      </c>
      <c r="B59" t="s">
        <v>75</v>
      </c>
      <c r="D59">
        <v>259</v>
      </c>
      <c r="E59" t="s">
        <v>75</v>
      </c>
      <c r="K59">
        <f t="shared" si="4"/>
        <v>2.8469750889679712</v>
      </c>
      <c r="L59" t="s">
        <v>75</v>
      </c>
      <c r="N59">
        <f t="shared" si="5"/>
        <v>92.170818505338076</v>
      </c>
      <c r="O59" t="s">
        <v>75</v>
      </c>
    </row>
    <row r="60" spans="1:15">
      <c r="A60">
        <v>19</v>
      </c>
      <c r="B60" t="s">
        <v>76</v>
      </c>
      <c r="D60">
        <v>373</v>
      </c>
      <c r="E60" t="s">
        <v>76</v>
      </c>
      <c r="K60">
        <f t="shared" si="4"/>
        <v>6.7615658362989333</v>
      </c>
      <c r="L60" t="s">
        <v>76</v>
      </c>
      <c r="N60">
        <f t="shared" si="5"/>
        <v>132.74021352313167</v>
      </c>
      <c r="O60" t="s">
        <v>76</v>
      </c>
    </row>
    <row r="61" spans="1:15">
      <c r="A61">
        <v>2</v>
      </c>
      <c r="B61" t="s">
        <v>77</v>
      </c>
      <c r="D61">
        <v>235</v>
      </c>
      <c r="E61" t="s">
        <v>77</v>
      </c>
      <c r="K61">
        <f t="shared" si="4"/>
        <v>0.71174377224199281</v>
      </c>
      <c r="L61" t="s">
        <v>77</v>
      </c>
      <c r="N61">
        <f t="shared" si="5"/>
        <v>83.629893238434164</v>
      </c>
      <c r="O61" t="s">
        <v>77</v>
      </c>
    </row>
    <row r="62" spans="1:15">
      <c r="A62">
        <v>40</v>
      </c>
      <c r="B62" t="s">
        <v>78</v>
      </c>
      <c r="D62">
        <v>122</v>
      </c>
      <c r="E62" t="s">
        <v>78</v>
      </c>
      <c r="K62">
        <f t="shared" si="4"/>
        <v>14.23487544483986</v>
      </c>
      <c r="L62" t="s">
        <v>78</v>
      </c>
      <c r="N62">
        <f t="shared" si="5"/>
        <v>43.416370106761562</v>
      </c>
      <c r="O62" t="s">
        <v>78</v>
      </c>
    </row>
    <row r="63" spans="1:15">
      <c r="A63">
        <v>10</v>
      </c>
      <c r="B63" t="s">
        <v>79</v>
      </c>
      <c r="D63">
        <v>31</v>
      </c>
      <c r="E63" t="s">
        <v>79</v>
      </c>
      <c r="K63">
        <f t="shared" si="4"/>
        <v>3.5587188612099649</v>
      </c>
      <c r="L63" t="s">
        <v>79</v>
      </c>
      <c r="N63">
        <f t="shared" si="5"/>
        <v>11.032028469750891</v>
      </c>
      <c r="O63" t="s">
        <v>79</v>
      </c>
    </row>
    <row r="64" spans="1:15">
      <c r="A64">
        <v>5</v>
      </c>
      <c r="B64" t="s">
        <v>80</v>
      </c>
      <c r="D64">
        <v>7</v>
      </c>
      <c r="E64" t="s">
        <v>80</v>
      </c>
      <c r="K64">
        <f t="shared" si="4"/>
        <v>1.7793594306049825</v>
      </c>
      <c r="L64" t="s">
        <v>80</v>
      </c>
      <c r="N64">
        <f t="shared" si="5"/>
        <v>2.4911032028469751</v>
      </c>
      <c r="O64" t="s">
        <v>80</v>
      </c>
    </row>
    <row r="65" spans="1:15">
      <c r="A65">
        <v>11</v>
      </c>
      <c r="B65" t="s">
        <v>81</v>
      </c>
      <c r="D65">
        <v>45</v>
      </c>
      <c r="E65" t="s">
        <v>81</v>
      </c>
      <c r="K65">
        <f t="shared" si="4"/>
        <v>3.9145907473309607</v>
      </c>
      <c r="L65" t="s">
        <v>81</v>
      </c>
      <c r="N65">
        <f t="shared" si="5"/>
        <v>16.014234875444842</v>
      </c>
      <c r="O65" t="s">
        <v>81</v>
      </c>
    </row>
    <row r="66" spans="1:15">
      <c r="A66">
        <v>2</v>
      </c>
      <c r="B66" t="s">
        <v>82</v>
      </c>
      <c r="D66">
        <v>0</v>
      </c>
      <c r="E66" t="s">
        <v>82</v>
      </c>
      <c r="K66">
        <f t="shared" si="4"/>
        <v>0.71174377224199281</v>
      </c>
      <c r="L66" t="s">
        <v>82</v>
      </c>
      <c r="N66">
        <f t="shared" si="5"/>
        <v>0</v>
      </c>
      <c r="O66" t="s">
        <v>82</v>
      </c>
    </row>
    <row r="67" spans="1:15">
      <c r="A67">
        <v>3</v>
      </c>
      <c r="B67" t="s">
        <v>83</v>
      </c>
      <c r="D67">
        <v>73</v>
      </c>
      <c r="E67" t="s">
        <v>83</v>
      </c>
      <c r="K67">
        <f t="shared" si="4"/>
        <v>1.0676156583629894</v>
      </c>
      <c r="L67" t="s">
        <v>83</v>
      </c>
      <c r="N67">
        <f t="shared" si="5"/>
        <v>25.978647686832741</v>
      </c>
      <c r="O67" t="s">
        <v>83</v>
      </c>
    </row>
    <row r="68" spans="1:15">
      <c r="A68">
        <v>25</v>
      </c>
      <c r="B68" t="s">
        <v>84</v>
      </c>
      <c r="D68">
        <v>124</v>
      </c>
      <c r="E68" t="s">
        <v>84</v>
      </c>
      <c r="K68">
        <f t="shared" si="4"/>
        <v>8.8967971530249113</v>
      </c>
      <c r="L68" t="s">
        <v>84</v>
      </c>
      <c r="N68">
        <f t="shared" si="5"/>
        <v>44.128113879003564</v>
      </c>
      <c r="O68" t="s">
        <v>84</v>
      </c>
    </row>
    <row r="69" spans="1:15">
      <c r="A69">
        <v>5</v>
      </c>
      <c r="B69" t="s">
        <v>85</v>
      </c>
      <c r="D69">
        <v>70</v>
      </c>
      <c r="E69" t="s">
        <v>85</v>
      </c>
      <c r="K69">
        <f t="shared" si="4"/>
        <v>1.7793594306049825</v>
      </c>
      <c r="L69" t="s">
        <v>85</v>
      </c>
      <c r="N69">
        <f t="shared" si="5"/>
        <v>24.911032028469752</v>
      </c>
      <c r="O69" t="s">
        <v>85</v>
      </c>
    </row>
    <row r="70" spans="1:15">
      <c r="A70">
        <v>17</v>
      </c>
      <c r="B70" t="s">
        <v>86</v>
      </c>
      <c r="D70">
        <v>137</v>
      </c>
      <c r="E70" t="s">
        <v>86</v>
      </c>
      <c r="K70">
        <f t="shared" si="4"/>
        <v>6.0498220640569391</v>
      </c>
      <c r="L70" t="s">
        <v>86</v>
      </c>
      <c r="N70">
        <f t="shared" si="5"/>
        <v>48.754448398576514</v>
      </c>
      <c r="O70" t="s">
        <v>86</v>
      </c>
    </row>
    <row r="71" spans="1:15">
      <c r="A71">
        <v>9</v>
      </c>
      <c r="B71" t="s">
        <v>87</v>
      </c>
      <c r="D71">
        <v>240</v>
      </c>
      <c r="E71" t="s">
        <v>87</v>
      </c>
      <c r="K71">
        <f t="shared" si="4"/>
        <v>3.2028469750889679</v>
      </c>
      <c r="L71" t="s">
        <v>87</v>
      </c>
      <c r="N71">
        <f t="shared" si="5"/>
        <v>85.409252669039148</v>
      </c>
      <c r="O71" t="s">
        <v>87</v>
      </c>
    </row>
    <row r="72" spans="1:15">
      <c r="A72">
        <v>18</v>
      </c>
      <c r="B72" t="s">
        <v>88</v>
      </c>
      <c r="D72">
        <v>153</v>
      </c>
      <c r="E72" t="s">
        <v>88</v>
      </c>
      <c r="K72">
        <f t="shared" si="4"/>
        <v>6.4056939501779357</v>
      </c>
      <c r="L72" t="s">
        <v>88</v>
      </c>
      <c r="N72">
        <f t="shared" si="5"/>
        <v>54.44839857651246</v>
      </c>
      <c r="O72" t="s">
        <v>88</v>
      </c>
    </row>
    <row r="73" spans="1:15">
      <c r="A73">
        <v>8</v>
      </c>
      <c r="B73" t="s">
        <v>89</v>
      </c>
      <c r="D73">
        <v>61</v>
      </c>
      <c r="E73" t="s">
        <v>89</v>
      </c>
      <c r="K73">
        <f t="shared" si="4"/>
        <v>2.8469750889679712</v>
      </c>
      <c r="L73" t="s">
        <v>89</v>
      </c>
      <c r="N73">
        <f t="shared" si="5"/>
        <v>21.708185053380781</v>
      </c>
      <c r="O73" t="s">
        <v>89</v>
      </c>
    </row>
    <row r="74" spans="1:15">
      <c r="A74">
        <v>1</v>
      </c>
      <c r="B74" t="s">
        <v>90</v>
      </c>
      <c r="D74">
        <v>0</v>
      </c>
      <c r="E74" t="s">
        <v>90</v>
      </c>
      <c r="K74">
        <f t="shared" si="4"/>
        <v>0.35587188612099641</v>
      </c>
      <c r="L74" t="s">
        <v>90</v>
      </c>
      <c r="N74">
        <f t="shared" si="5"/>
        <v>0</v>
      </c>
      <c r="O74" t="s">
        <v>90</v>
      </c>
    </row>
    <row r="75" spans="1:15">
      <c r="A75">
        <v>11</v>
      </c>
      <c r="B75" t="s">
        <v>91</v>
      </c>
      <c r="D75">
        <v>17</v>
      </c>
      <c r="E75" t="s">
        <v>91</v>
      </c>
      <c r="K75">
        <f t="shared" si="4"/>
        <v>3.9145907473309607</v>
      </c>
      <c r="L75" t="s">
        <v>91</v>
      </c>
      <c r="N75">
        <f t="shared" si="5"/>
        <v>6.0498220640569391</v>
      </c>
      <c r="O75" t="s">
        <v>91</v>
      </c>
    </row>
    <row r="76" spans="1:15">
      <c r="A76">
        <v>1</v>
      </c>
      <c r="B76" t="s">
        <v>92</v>
      </c>
      <c r="D76">
        <v>3</v>
      </c>
      <c r="E76" t="s">
        <v>92</v>
      </c>
      <c r="K76">
        <f t="shared" si="4"/>
        <v>0.35587188612099641</v>
      </c>
      <c r="L76" t="s">
        <v>92</v>
      </c>
      <c r="N76">
        <f t="shared" si="5"/>
        <v>1.0676156583629894</v>
      </c>
      <c r="O76" t="s">
        <v>92</v>
      </c>
    </row>
    <row r="77" spans="1:15">
      <c r="A77">
        <v>8</v>
      </c>
      <c r="B77" t="s">
        <v>93</v>
      </c>
      <c r="D77">
        <v>3</v>
      </c>
      <c r="E77" t="s">
        <v>93</v>
      </c>
      <c r="L77" t="s">
        <v>93</v>
      </c>
      <c r="O77" t="s">
        <v>93</v>
      </c>
    </row>
  </sheetData>
  <mergeCells count="4">
    <mergeCell ref="A1:B1"/>
    <mergeCell ref="D1:E1"/>
    <mergeCell ref="K1:L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AFDC8-F831-4815-8B8A-DDD601381401}">
  <dimension ref="A1:E56"/>
  <sheetViews>
    <sheetView tabSelected="1" topLeftCell="A28" workbookViewId="0">
      <selection activeCell="D31" sqref="D31"/>
    </sheetView>
  </sheetViews>
  <sheetFormatPr defaultRowHeight="15"/>
  <cols>
    <col min="1" max="2" width="28.42578125" bestFit="1" customWidth="1"/>
    <col min="5" max="5" width="28.42578125" bestFit="1" customWidth="1"/>
  </cols>
  <sheetData>
    <row r="1" spans="1:5">
      <c r="A1" s="5" t="s">
        <v>0</v>
      </c>
      <c r="B1" s="5"/>
      <c r="D1" s="6" t="s">
        <v>1</v>
      </c>
      <c r="E1" s="6"/>
    </row>
    <row r="2" spans="1:5">
      <c r="A2" s="1" t="s">
        <v>4</v>
      </c>
      <c r="B2" s="1" t="s">
        <v>5</v>
      </c>
      <c r="D2" s="2" t="s">
        <v>4</v>
      </c>
      <c r="E2" s="2" t="s">
        <v>5</v>
      </c>
    </row>
    <row r="3" spans="1:5">
      <c r="A3">
        <v>164802</v>
      </c>
      <c r="B3" t="s">
        <v>7</v>
      </c>
      <c r="D3">
        <v>68728</v>
      </c>
      <c r="E3" t="s">
        <v>7</v>
      </c>
    </row>
    <row r="4" spans="1:5">
      <c r="A4">
        <v>13000</v>
      </c>
      <c r="B4" t="s">
        <v>9</v>
      </c>
      <c r="D4">
        <v>6307</v>
      </c>
      <c r="E4" t="s">
        <v>9</v>
      </c>
    </row>
    <row r="5" spans="1:5">
      <c r="A5">
        <v>5431</v>
      </c>
      <c r="B5" t="s">
        <v>11</v>
      </c>
      <c r="D5">
        <v>4250</v>
      </c>
      <c r="E5" t="s">
        <v>11</v>
      </c>
    </row>
    <row r="6" spans="1:5">
      <c r="A6">
        <v>53103</v>
      </c>
      <c r="B6" t="s">
        <v>13</v>
      </c>
      <c r="D6">
        <v>52199</v>
      </c>
      <c r="E6" t="s">
        <v>13</v>
      </c>
    </row>
    <row r="7" spans="1:5">
      <c r="A7">
        <v>7667</v>
      </c>
      <c r="B7" t="s">
        <v>15</v>
      </c>
      <c r="D7">
        <v>3547</v>
      </c>
      <c r="E7" t="s">
        <v>15</v>
      </c>
    </row>
    <row r="8" spans="1:5">
      <c r="A8">
        <v>8115</v>
      </c>
      <c r="B8" t="s">
        <v>17</v>
      </c>
      <c r="D8">
        <v>1557</v>
      </c>
      <c r="E8" t="s">
        <v>17</v>
      </c>
    </row>
    <row r="9" spans="1:5">
      <c r="A9">
        <v>7577</v>
      </c>
      <c r="B9" t="s">
        <v>19</v>
      </c>
      <c r="D9">
        <v>4013</v>
      </c>
      <c r="E9" t="s">
        <v>19</v>
      </c>
    </row>
    <row r="10" spans="1:5">
      <c r="A10">
        <v>7586</v>
      </c>
      <c r="B10" t="s">
        <v>21</v>
      </c>
      <c r="D10">
        <v>6551</v>
      </c>
      <c r="E10" t="s">
        <v>21</v>
      </c>
    </row>
    <row r="11" spans="1:5">
      <c r="A11">
        <v>9028</v>
      </c>
      <c r="B11" t="s">
        <v>23</v>
      </c>
      <c r="D11">
        <v>7222</v>
      </c>
      <c r="E11" t="s">
        <v>23</v>
      </c>
    </row>
    <row r="12" spans="1:5">
      <c r="A12">
        <v>4764</v>
      </c>
      <c r="B12" t="s">
        <v>25</v>
      </c>
      <c r="D12">
        <v>2599</v>
      </c>
      <c r="E12" t="s">
        <v>25</v>
      </c>
    </row>
    <row r="13" spans="1:5">
      <c r="A13">
        <v>7354</v>
      </c>
      <c r="B13" t="s">
        <v>27</v>
      </c>
      <c r="D13">
        <v>6096</v>
      </c>
      <c r="E13" t="s">
        <v>27</v>
      </c>
    </row>
    <row r="14" spans="1:5">
      <c r="A14">
        <v>7966</v>
      </c>
      <c r="B14" t="s">
        <v>29</v>
      </c>
      <c r="D14">
        <v>5774</v>
      </c>
      <c r="E14" t="s">
        <v>29</v>
      </c>
    </row>
    <row r="15" spans="1:5">
      <c r="A15">
        <v>3925</v>
      </c>
      <c r="B15" t="s">
        <v>31</v>
      </c>
      <c r="D15">
        <v>1683</v>
      </c>
      <c r="E15" t="s">
        <v>31</v>
      </c>
    </row>
    <row r="16" spans="1:5">
      <c r="A16">
        <v>5865</v>
      </c>
      <c r="B16" t="s">
        <v>32</v>
      </c>
      <c r="D16">
        <v>5003</v>
      </c>
      <c r="E16" t="s">
        <v>32</v>
      </c>
    </row>
    <row r="17" spans="1:5">
      <c r="A17">
        <v>7786</v>
      </c>
      <c r="B17" t="s">
        <v>33</v>
      </c>
      <c r="D17">
        <v>2124</v>
      </c>
      <c r="E17" t="s">
        <v>33</v>
      </c>
    </row>
    <row r="18" spans="1:5">
      <c r="A18">
        <v>7225</v>
      </c>
      <c r="B18" t="s">
        <v>34</v>
      </c>
      <c r="D18">
        <v>3548</v>
      </c>
      <c r="E18" t="s">
        <v>34</v>
      </c>
    </row>
    <row r="19" spans="1:5">
      <c r="A19">
        <v>16430</v>
      </c>
      <c r="B19" t="s">
        <v>35</v>
      </c>
      <c r="D19">
        <v>14670</v>
      </c>
      <c r="E19" t="s">
        <v>35</v>
      </c>
    </row>
    <row r="20" spans="1:5">
      <c r="A20">
        <v>6293</v>
      </c>
      <c r="B20" t="s">
        <v>36</v>
      </c>
      <c r="D20">
        <v>3956</v>
      </c>
      <c r="E20" t="s">
        <v>36</v>
      </c>
    </row>
    <row r="21" spans="1:5">
      <c r="A21">
        <v>5948</v>
      </c>
      <c r="B21" t="s">
        <v>37</v>
      </c>
      <c r="D21">
        <v>2612</v>
      </c>
      <c r="E21" t="s">
        <v>37</v>
      </c>
    </row>
    <row r="22" spans="1:5">
      <c r="A22">
        <v>8153</v>
      </c>
      <c r="B22" t="s">
        <v>38</v>
      </c>
      <c r="D22">
        <v>7163</v>
      </c>
      <c r="E22" t="s">
        <v>38</v>
      </c>
    </row>
    <row r="23" spans="1:5">
      <c r="A23">
        <v>21</v>
      </c>
      <c r="B23" t="s">
        <v>39</v>
      </c>
      <c r="D23">
        <v>34</v>
      </c>
      <c r="E23" t="s">
        <v>39</v>
      </c>
    </row>
    <row r="24" spans="1:5">
      <c r="A24">
        <v>6810</v>
      </c>
      <c r="B24" t="s">
        <v>40</v>
      </c>
      <c r="D24">
        <v>2966</v>
      </c>
      <c r="E24" t="s">
        <v>40</v>
      </c>
    </row>
    <row r="25" spans="1:5">
      <c r="A25">
        <v>8871</v>
      </c>
      <c r="B25" t="s">
        <v>41</v>
      </c>
      <c r="D25">
        <v>4446</v>
      </c>
      <c r="E25" t="s">
        <v>41</v>
      </c>
    </row>
    <row r="26" spans="1:5">
      <c r="A26">
        <v>1264</v>
      </c>
      <c r="B26" t="s">
        <v>42</v>
      </c>
      <c r="D26">
        <v>566</v>
      </c>
      <c r="E26" t="s">
        <v>42</v>
      </c>
    </row>
    <row r="27" spans="1:5">
      <c r="A27">
        <v>13004</v>
      </c>
      <c r="B27" t="s">
        <v>43</v>
      </c>
      <c r="D27">
        <v>20548</v>
      </c>
      <c r="E27" t="s">
        <v>43</v>
      </c>
    </row>
    <row r="28" spans="1:5">
      <c r="A28">
        <v>2571</v>
      </c>
      <c r="B28" t="s">
        <v>44</v>
      </c>
      <c r="D28">
        <v>2325</v>
      </c>
      <c r="E28" t="s">
        <v>44</v>
      </c>
    </row>
    <row r="30" spans="1:5">
      <c r="B30" t="s">
        <v>94</v>
      </c>
      <c r="C30" t="s">
        <v>0</v>
      </c>
      <c r="D30" t="s">
        <v>1</v>
      </c>
    </row>
    <row r="31" spans="1:5">
      <c r="A31" t="s">
        <v>7</v>
      </c>
      <c r="B31" t="s">
        <v>95</v>
      </c>
      <c r="C31">
        <v>42.196441510757658</v>
      </c>
      <c r="D31">
        <v>17.597341246777056</v>
      </c>
    </row>
    <row r="32" spans="1:5">
      <c r="A32" t="s">
        <v>9</v>
      </c>
      <c r="B32" t="s">
        <v>96</v>
      </c>
      <c r="C32">
        <v>3.3285623939020734</v>
      </c>
      <c r="D32">
        <v>1.6148648475646443</v>
      </c>
    </row>
    <row r="33" spans="1:4">
      <c r="A33" t="s">
        <v>11</v>
      </c>
      <c r="B33" t="s">
        <v>97</v>
      </c>
      <c r="C33">
        <v>1.3905709508678585</v>
      </c>
      <c r="D33">
        <v>1.0881838595449087</v>
      </c>
    </row>
    <row r="34" spans="1:4">
      <c r="A34" t="s">
        <v>13</v>
      </c>
      <c r="B34" t="s">
        <v>98</v>
      </c>
      <c r="C34">
        <v>13.596665292567833</v>
      </c>
      <c r="D34">
        <v>13.365202184561104</v>
      </c>
    </row>
    <row r="35" spans="1:4">
      <c r="A35" t="s">
        <v>15</v>
      </c>
      <c r="B35" t="s">
        <v>99</v>
      </c>
      <c r="C35">
        <v>1.9630836826190152</v>
      </c>
      <c r="D35">
        <v>0.90818544701312731</v>
      </c>
    </row>
    <row r="36" spans="1:4">
      <c r="A36" t="s">
        <v>17</v>
      </c>
      <c r="B36" t="s">
        <v>100</v>
      </c>
      <c r="C36">
        <v>2.0777910635781023</v>
      </c>
      <c r="D36">
        <v>0.39865935748504067</v>
      </c>
    </row>
    <row r="37" spans="1:4">
      <c r="A37" t="s">
        <v>19</v>
      </c>
      <c r="B37" t="s">
        <v>101</v>
      </c>
      <c r="C37">
        <v>1.9400397891227703</v>
      </c>
      <c r="D37">
        <v>1.0275016066714633</v>
      </c>
    </row>
    <row r="38" spans="1:4">
      <c r="A38" t="s">
        <v>21</v>
      </c>
      <c r="B38" t="s">
        <v>102</v>
      </c>
      <c r="C38">
        <v>1.9423441784723949</v>
      </c>
      <c r="D38">
        <v>1.6773394032655757</v>
      </c>
    </row>
    <row r="39" spans="1:4">
      <c r="A39" t="s">
        <v>23</v>
      </c>
      <c r="B39" t="s">
        <v>103</v>
      </c>
      <c r="C39">
        <v>2.3115585609344556</v>
      </c>
      <c r="D39">
        <v>1.8491444314431367</v>
      </c>
    </row>
    <row r="40" spans="1:4">
      <c r="A40" t="s">
        <v>25</v>
      </c>
      <c r="B40" t="s">
        <v>104</v>
      </c>
      <c r="C40">
        <v>1.2197900957345753</v>
      </c>
      <c r="D40">
        <v>0.66545643551934541</v>
      </c>
    </row>
    <row r="41" spans="1:4">
      <c r="A41" t="s">
        <v>27</v>
      </c>
      <c r="B41" t="s">
        <v>105</v>
      </c>
      <c r="C41">
        <v>1.8829421419042962</v>
      </c>
      <c r="D41">
        <v>1.5608397194790031</v>
      </c>
    </row>
    <row r="42" spans="1:4">
      <c r="A42" t="s">
        <v>29</v>
      </c>
      <c r="B42" t="s">
        <v>106</v>
      </c>
      <c r="C42">
        <v>2.0396406176787627</v>
      </c>
      <c r="D42">
        <v>1.4783937894146595</v>
      </c>
    </row>
    <row r="43" spans="1:4">
      <c r="A43" t="s">
        <v>31</v>
      </c>
      <c r="B43" t="s">
        <v>107</v>
      </c>
      <c r="C43">
        <v>1.004969799697357</v>
      </c>
      <c r="D43">
        <v>0.43092080837978386</v>
      </c>
    </row>
    <row r="44" spans="1:4">
      <c r="A44" t="s">
        <v>32</v>
      </c>
      <c r="B44" t="s">
        <v>108</v>
      </c>
      <c r="C44">
        <v>1.5016937261719741</v>
      </c>
      <c r="D44">
        <v>1.2809844351301596</v>
      </c>
    </row>
    <row r="45" spans="1:4">
      <c r="A45" t="s">
        <v>33</v>
      </c>
      <c r="B45" t="s">
        <v>109</v>
      </c>
      <c r="C45">
        <v>1.9935528306862726</v>
      </c>
      <c r="D45">
        <v>0.54383588651138492</v>
      </c>
    </row>
    <row r="46" spans="1:4">
      <c r="A46" t="s">
        <v>34</v>
      </c>
      <c r="B46" t="s">
        <v>110</v>
      </c>
      <c r="C46">
        <v>1.8499125612263447</v>
      </c>
      <c r="D46">
        <v>0.90844149027419674</v>
      </c>
    </row>
    <row r="47" spans="1:4">
      <c r="A47" t="s">
        <v>35</v>
      </c>
      <c r="B47" t="s">
        <v>111</v>
      </c>
      <c r="C47">
        <v>4.2067907793700821</v>
      </c>
      <c r="D47">
        <v>3.7561546398879555</v>
      </c>
    </row>
    <row r="48" spans="1:4">
      <c r="A48" t="s">
        <v>36</v>
      </c>
      <c r="B48" t="s">
        <v>112</v>
      </c>
      <c r="C48">
        <v>1.6112802419096732</v>
      </c>
      <c r="D48">
        <v>1.0129071407905079</v>
      </c>
    </row>
    <row r="49" spans="1:4">
      <c r="A49" t="s">
        <v>37</v>
      </c>
      <c r="B49" t="s">
        <v>113</v>
      </c>
      <c r="C49">
        <v>1.5229453168407334</v>
      </c>
      <c r="D49">
        <v>0.66878499791324741</v>
      </c>
    </row>
    <row r="50" spans="1:4">
      <c r="A50" t="s">
        <v>38</v>
      </c>
      <c r="B50" t="s">
        <v>114</v>
      </c>
      <c r="C50">
        <v>2.0875207074987392</v>
      </c>
      <c r="D50">
        <v>1.8340378790400427</v>
      </c>
    </row>
    <row r="51" spans="1:4">
      <c r="A51" t="s">
        <v>39</v>
      </c>
      <c r="B51" t="s">
        <v>115</v>
      </c>
      <c r="C51">
        <v>5.3769084824571963E-3</v>
      </c>
      <c r="D51">
        <v>8.7054708763592697E-3</v>
      </c>
    </row>
    <row r="52" spans="1:4">
      <c r="A52" t="s">
        <v>40</v>
      </c>
      <c r="B52" t="s">
        <v>116</v>
      </c>
      <c r="C52">
        <v>1.7436546078825479</v>
      </c>
      <c r="D52">
        <v>0.75942431233181162</v>
      </c>
    </row>
    <row r="53" spans="1:4">
      <c r="A53" t="s">
        <v>41</v>
      </c>
      <c r="B53" t="s">
        <v>117</v>
      </c>
      <c r="C53">
        <v>2.271359768946561</v>
      </c>
      <c r="D53">
        <v>1.1383683387145092</v>
      </c>
    </row>
    <row r="54" spans="1:4">
      <c r="A54" t="s">
        <v>42</v>
      </c>
      <c r="B54" t="s">
        <v>118</v>
      </c>
      <c r="C54">
        <v>0.32363868199170931</v>
      </c>
      <c r="D54">
        <v>0.14492048576527491</v>
      </c>
    </row>
    <row r="55" spans="1:4">
      <c r="A55" t="s">
        <v>43</v>
      </c>
      <c r="B55" t="s">
        <v>119</v>
      </c>
      <c r="C55">
        <v>3.3295865669463511</v>
      </c>
      <c r="D55">
        <v>5.261176928453831</v>
      </c>
    </row>
    <row r="56" spans="1:4">
      <c r="A56" t="s">
        <v>44</v>
      </c>
      <c r="B56" t="s">
        <v>120</v>
      </c>
      <c r="C56">
        <v>0.65828722420940244</v>
      </c>
      <c r="D56">
        <v>0.5953005819863324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DB42E-63B0-4907-B793-D00B244A0DCC}">
  <dimension ref="A1:K51"/>
  <sheetViews>
    <sheetView topLeftCell="G1" zoomScale="70" zoomScaleNormal="70" workbookViewId="0">
      <selection activeCell="N55" sqref="N55"/>
    </sheetView>
  </sheetViews>
  <sheetFormatPr defaultRowHeight="15"/>
  <cols>
    <col min="2" max="2" width="26.140625" bestFit="1" customWidth="1"/>
    <col min="5" max="5" width="26.140625" bestFit="1" customWidth="1"/>
    <col min="7" max="7" width="32.140625" bestFit="1" customWidth="1"/>
    <col min="8" max="8" width="11.5703125" bestFit="1" customWidth="1"/>
    <col min="9" max="9" width="12.5703125" bestFit="1" customWidth="1"/>
    <col min="10" max="10" width="32.140625" bestFit="1" customWidth="1"/>
    <col min="11" max="11" width="17" bestFit="1" customWidth="1"/>
  </cols>
  <sheetData>
    <row r="1" spans="1:11">
      <c r="A1" s="5" t="s">
        <v>0</v>
      </c>
      <c r="B1" s="5"/>
      <c r="D1" s="6" t="s">
        <v>1</v>
      </c>
      <c r="E1" s="6"/>
    </row>
    <row r="2" spans="1:11" ht="15.75">
      <c r="A2" s="1" t="s">
        <v>4</v>
      </c>
      <c r="B2" s="1" t="s">
        <v>5</v>
      </c>
      <c r="D2" s="2" t="s">
        <v>4</v>
      </c>
      <c r="E2" s="2" t="s">
        <v>5</v>
      </c>
      <c r="G2" s="3" t="s">
        <v>94</v>
      </c>
      <c r="H2" s="3" t="s">
        <v>0</v>
      </c>
      <c r="I2" s="3" t="s">
        <v>1</v>
      </c>
      <c r="J2" s="3" t="s">
        <v>94</v>
      </c>
      <c r="K2" s="3" t="s">
        <v>121</v>
      </c>
    </row>
    <row r="3" spans="1:11">
      <c r="A3">
        <v>1012</v>
      </c>
      <c r="B3" t="s">
        <v>45</v>
      </c>
      <c r="D3">
        <v>127</v>
      </c>
      <c r="E3" t="s">
        <v>45</v>
      </c>
      <c r="G3" t="s">
        <v>45</v>
      </c>
      <c r="H3" s="4">
        <v>9.2937827165028928</v>
      </c>
      <c r="I3" s="4">
        <v>1.1663146294425566</v>
      </c>
      <c r="J3" t="s">
        <v>45</v>
      </c>
      <c r="K3" s="4">
        <f>I3/H3</f>
        <v>0.12549407114624506</v>
      </c>
    </row>
    <row r="4" spans="1:11">
      <c r="A4">
        <v>208</v>
      </c>
      <c r="B4" t="s">
        <v>46</v>
      </c>
      <c r="D4">
        <v>733</v>
      </c>
      <c r="E4" t="s">
        <v>46</v>
      </c>
      <c r="G4" t="s">
        <v>46</v>
      </c>
      <c r="H4" s="4">
        <v>1.9101845899531635</v>
      </c>
      <c r="I4" s="4">
        <v>6.7315639636330236</v>
      </c>
      <c r="J4" t="s">
        <v>46</v>
      </c>
      <c r="K4" s="4">
        <f t="shared" ref="K4:K49" si="0">I4/H4</f>
        <v>3.5240384615384617</v>
      </c>
    </row>
    <row r="5" spans="1:11">
      <c r="A5">
        <v>2627</v>
      </c>
      <c r="B5" t="s">
        <v>47</v>
      </c>
      <c r="D5">
        <v>3628</v>
      </c>
      <c r="E5" t="s">
        <v>47</v>
      </c>
      <c r="G5" t="s">
        <v>47</v>
      </c>
      <c r="H5" s="4">
        <v>24.125264027918085</v>
      </c>
      <c r="I5" s="4">
        <v>33.318027367067685</v>
      </c>
      <c r="J5" t="s">
        <v>47</v>
      </c>
      <c r="K5" s="4">
        <f t="shared" si="0"/>
        <v>1.3810430148458317</v>
      </c>
    </row>
    <row r="6" spans="1:11">
      <c r="A6">
        <v>460</v>
      </c>
      <c r="B6" t="s">
        <v>48</v>
      </c>
      <c r="D6">
        <v>55</v>
      </c>
      <c r="E6" t="s">
        <v>48</v>
      </c>
      <c r="G6" t="s">
        <v>48</v>
      </c>
      <c r="H6" s="4">
        <v>4.224446689319497</v>
      </c>
      <c r="I6" s="4">
        <v>0.50509688676646158</v>
      </c>
      <c r="J6" t="s">
        <v>48</v>
      </c>
      <c r="K6" s="4">
        <f t="shared" si="0"/>
        <v>0.11956521739130435</v>
      </c>
    </row>
    <row r="7" spans="1:11">
      <c r="A7">
        <v>302</v>
      </c>
      <c r="B7" t="s">
        <v>49</v>
      </c>
      <c r="D7">
        <v>49</v>
      </c>
      <c r="E7" t="s">
        <v>49</v>
      </c>
      <c r="G7" t="s">
        <v>49</v>
      </c>
      <c r="H7" s="4">
        <v>2.7734410873358435</v>
      </c>
      <c r="I7" s="4">
        <v>0.4499954082101203</v>
      </c>
      <c r="J7" t="s">
        <v>49</v>
      </c>
      <c r="K7" s="4">
        <f t="shared" si="0"/>
        <v>0.16225165562913907</v>
      </c>
    </row>
    <row r="8" spans="1:11">
      <c r="A8">
        <v>566</v>
      </c>
      <c r="B8" t="s">
        <v>50</v>
      </c>
      <c r="D8">
        <v>90</v>
      </c>
      <c r="E8" t="s">
        <v>50</v>
      </c>
      <c r="G8" t="s">
        <v>50</v>
      </c>
      <c r="H8" s="4">
        <v>5.1979061438148584</v>
      </c>
      <c r="I8" s="4">
        <v>0.82652217834511887</v>
      </c>
      <c r="J8" t="s">
        <v>50</v>
      </c>
      <c r="K8" s="4">
        <f t="shared" si="0"/>
        <v>0.1590106007067138</v>
      </c>
    </row>
    <row r="9" spans="1:11">
      <c r="A9">
        <v>138</v>
      </c>
      <c r="B9" t="s">
        <v>51</v>
      </c>
      <c r="D9">
        <v>348</v>
      </c>
      <c r="E9" t="s">
        <v>51</v>
      </c>
      <c r="G9" t="s">
        <v>51</v>
      </c>
      <c r="H9" s="4">
        <v>1.267334006795849</v>
      </c>
      <c r="I9" s="4">
        <v>3.1958857562677934</v>
      </c>
      <c r="J9" t="s">
        <v>51</v>
      </c>
      <c r="K9" s="4">
        <f t="shared" si="0"/>
        <v>2.5217391304347827</v>
      </c>
    </row>
    <row r="10" spans="1:11">
      <c r="A10">
        <v>92</v>
      </c>
      <c r="B10" t="s">
        <v>52</v>
      </c>
      <c r="D10">
        <v>915</v>
      </c>
      <c r="E10" t="s">
        <v>52</v>
      </c>
      <c r="G10" t="s">
        <v>52</v>
      </c>
      <c r="H10" s="4">
        <v>0.84488933786389941</v>
      </c>
      <c r="I10" s="4">
        <v>8.4029754798420431</v>
      </c>
      <c r="J10" t="s">
        <v>52</v>
      </c>
      <c r="K10" s="4">
        <f t="shared" si="0"/>
        <v>9.945652173913043</v>
      </c>
    </row>
    <row r="11" spans="1:11">
      <c r="A11">
        <v>426</v>
      </c>
      <c r="B11" t="s">
        <v>53</v>
      </c>
      <c r="D11">
        <v>236</v>
      </c>
      <c r="E11" t="s">
        <v>53</v>
      </c>
      <c r="G11" t="s">
        <v>53</v>
      </c>
      <c r="H11" s="4">
        <v>3.9122049775002297</v>
      </c>
      <c r="I11" s="4">
        <v>2.1673248232160898</v>
      </c>
      <c r="J11" t="s">
        <v>53</v>
      </c>
      <c r="K11" s="4">
        <f t="shared" si="0"/>
        <v>0.5539906103286385</v>
      </c>
    </row>
    <row r="12" spans="1:11">
      <c r="A12">
        <v>266</v>
      </c>
      <c r="B12" t="s">
        <v>54</v>
      </c>
      <c r="D12">
        <v>730</v>
      </c>
      <c r="E12" t="s">
        <v>54</v>
      </c>
      <c r="G12" t="s">
        <v>54</v>
      </c>
      <c r="H12" s="4">
        <v>2.4428322159977962</v>
      </c>
      <c r="I12" s="4">
        <v>6.7040132243548527</v>
      </c>
      <c r="J12" t="s">
        <v>54</v>
      </c>
      <c r="K12" s="4">
        <f t="shared" si="0"/>
        <v>2.7443609022556386</v>
      </c>
    </row>
    <row r="13" spans="1:11">
      <c r="A13">
        <v>302</v>
      </c>
      <c r="B13" t="s">
        <v>55</v>
      </c>
      <c r="D13">
        <v>394</v>
      </c>
      <c r="E13" t="s">
        <v>55</v>
      </c>
      <c r="G13" t="s">
        <v>55</v>
      </c>
      <c r="H13" s="4">
        <v>2.7734410873358435</v>
      </c>
      <c r="I13" s="4">
        <v>3.6183304251997428</v>
      </c>
      <c r="J13" t="s">
        <v>55</v>
      </c>
      <c r="K13" s="4">
        <f t="shared" si="0"/>
        <v>1.304635761589404</v>
      </c>
    </row>
    <row r="14" spans="1:11">
      <c r="A14">
        <v>313</v>
      </c>
      <c r="B14" t="s">
        <v>56</v>
      </c>
      <c r="D14">
        <v>147</v>
      </c>
      <c r="E14" t="s">
        <v>56</v>
      </c>
      <c r="G14" t="s">
        <v>56</v>
      </c>
      <c r="H14" s="4">
        <v>2.8744604646891361</v>
      </c>
      <c r="I14" s="4">
        <v>1.3499862246303609</v>
      </c>
      <c r="J14" t="s">
        <v>56</v>
      </c>
      <c r="K14" s="4">
        <f t="shared" si="0"/>
        <v>0.46964856230031943</v>
      </c>
    </row>
    <row r="15" spans="1:11">
      <c r="A15">
        <v>107</v>
      </c>
      <c r="B15" t="s">
        <v>57</v>
      </c>
      <c r="D15">
        <v>280</v>
      </c>
      <c r="E15" t="s">
        <v>57</v>
      </c>
      <c r="G15" t="s">
        <v>57</v>
      </c>
      <c r="H15" s="4">
        <v>0.98264303425475252</v>
      </c>
      <c r="I15" s="4">
        <v>2.5714023326292588</v>
      </c>
      <c r="J15" t="s">
        <v>57</v>
      </c>
      <c r="K15" s="4">
        <f t="shared" si="0"/>
        <v>2.6168224299065419</v>
      </c>
    </row>
    <row r="16" spans="1:11">
      <c r="A16">
        <v>576</v>
      </c>
      <c r="B16" t="s">
        <v>58</v>
      </c>
      <c r="D16">
        <v>292</v>
      </c>
      <c r="E16" t="s">
        <v>58</v>
      </c>
      <c r="G16" t="s">
        <v>58</v>
      </c>
      <c r="H16" s="4">
        <v>5.289741941408761</v>
      </c>
      <c r="I16" s="4">
        <v>2.6816052897419413</v>
      </c>
      <c r="J16" t="s">
        <v>58</v>
      </c>
      <c r="K16" s="4">
        <f t="shared" si="0"/>
        <v>0.50694444444444442</v>
      </c>
    </row>
    <row r="17" spans="1:11">
      <c r="A17">
        <v>301</v>
      </c>
      <c r="B17" t="s">
        <v>59</v>
      </c>
      <c r="D17">
        <v>133</v>
      </c>
      <c r="E17" t="s">
        <v>59</v>
      </c>
      <c r="G17" t="s">
        <v>59</v>
      </c>
      <c r="H17" s="4">
        <v>2.7642575075764531</v>
      </c>
      <c r="I17" s="4">
        <v>1.2214161079988981</v>
      </c>
      <c r="J17" t="s">
        <v>59</v>
      </c>
      <c r="K17" s="4">
        <f t="shared" si="0"/>
        <v>0.44186046511627913</v>
      </c>
    </row>
    <row r="18" spans="1:11">
      <c r="A18">
        <v>237</v>
      </c>
      <c r="B18" t="s">
        <v>60</v>
      </c>
      <c r="D18">
        <v>261</v>
      </c>
      <c r="E18" t="s">
        <v>60</v>
      </c>
      <c r="G18" t="s">
        <v>60</v>
      </c>
      <c r="H18" s="4">
        <v>2.1765084029754798</v>
      </c>
      <c r="I18" s="4">
        <v>2.3969143172008449</v>
      </c>
      <c r="J18" t="s">
        <v>60</v>
      </c>
      <c r="K18" s="4">
        <f t="shared" si="0"/>
        <v>1.1012658227848102</v>
      </c>
    </row>
    <row r="19" spans="1:11">
      <c r="A19">
        <v>355</v>
      </c>
      <c r="B19" t="s">
        <v>61</v>
      </c>
      <c r="D19">
        <v>119</v>
      </c>
      <c r="E19" t="s">
        <v>61</v>
      </c>
      <c r="G19" t="s">
        <v>61</v>
      </c>
      <c r="H19" s="4">
        <v>3.2601708145835246</v>
      </c>
      <c r="I19" s="4">
        <v>1.0928459913674349</v>
      </c>
      <c r="J19" t="s">
        <v>61</v>
      </c>
      <c r="K19" s="4">
        <f t="shared" si="0"/>
        <v>0.33521126760563374</v>
      </c>
    </row>
    <row r="20" spans="1:11">
      <c r="A20">
        <v>820</v>
      </c>
      <c r="B20" t="s">
        <v>62</v>
      </c>
      <c r="D20">
        <v>57</v>
      </c>
      <c r="E20" t="s">
        <v>62</v>
      </c>
      <c r="G20" t="s">
        <v>62</v>
      </c>
      <c r="H20" s="4">
        <v>7.5305354026999725</v>
      </c>
      <c r="I20" s="4">
        <v>0.52346404628524201</v>
      </c>
      <c r="J20" t="s">
        <v>62</v>
      </c>
      <c r="K20" s="4">
        <f t="shared" si="0"/>
        <v>6.9512195121951226E-2</v>
      </c>
    </row>
    <row r="21" spans="1:11">
      <c r="A21">
        <v>275</v>
      </c>
      <c r="B21" t="s">
        <v>63</v>
      </c>
      <c r="D21">
        <v>734</v>
      </c>
      <c r="E21" t="s">
        <v>63</v>
      </c>
      <c r="G21" t="s">
        <v>63</v>
      </c>
      <c r="H21" s="4">
        <v>2.5254844338323079</v>
      </c>
      <c r="I21" s="4">
        <v>6.7407475433924144</v>
      </c>
      <c r="J21" t="s">
        <v>63</v>
      </c>
      <c r="K21" s="4">
        <f t="shared" si="0"/>
        <v>2.669090909090909</v>
      </c>
    </row>
    <row r="22" spans="1:11">
      <c r="A22">
        <v>5</v>
      </c>
      <c r="B22" t="s">
        <v>64</v>
      </c>
      <c r="D22">
        <v>1</v>
      </c>
      <c r="E22" t="s">
        <v>64</v>
      </c>
      <c r="G22" t="s">
        <v>64</v>
      </c>
      <c r="H22" s="4">
        <v>4.5917898796951052E-2</v>
      </c>
      <c r="I22" s="4">
        <v>9.1835797593902094E-3</v>
      </c>
      <c r="J22" t="s">
        <v>64</v>
      </c>
      <c r="K22" s="4">
        <f t="shared" si="0"/>
        <v>0.19999999999999998</v>
      </c>
    </row>
    <row r="23" spans="1:11">
      <c r="A23">
        <v>431</v>
      </c>
      <c r="B23" t="s">
        <v>65</v>
      </c>
      <c r="D23">
        <v>16</v>
      </c>
      <c r="E23" t="s">
        <v>65</v>
      </c>
      <c r="G23" t="s">
        <v>65</v>
      </c>
      <c r="H23" s="4">
        <v>3.9581228762971805</v>
      </c>
      <c r="I23" s="4">
        <v>0.14693727615024335</v>
      </c>
      <c r="J23" t="s">
        <v>65</v>
      </c>
      <c r="K23" s="4">
        <f t="shared" si="0"/>
        <v>3.7122969837587005E-2</v>
      </c>
    </row>
    <row r="24" spans="1:11">
      <c r="A24">
        <v>561</v>
      </c>
      <c r="B24" t="s">
        <v>66</v>
      </c>
      <c r="D24">
        <v>412</v>
      </c>
      <c r="E24" t="s">
        <v>66</v>
      </c>
      <c r="G24" t="s">
        <v>66</v>
      </c>
      <c r="H24" s="4">
        <v>5.1519882450179075</v>
      </c>
      <c r="I24" s="4">
        <v>3.7836348608687667</v>
      </c>
      <c r="J24" t="s">
        <v>66</v>
      </c>
      <c r="K24" s="4">
        <f t="shared" si="0"/>
        <v>0.73440285204991096</v>
      </c>
    </row>
    <row r="25" spans="1:11">
      <c r="A25">
        <v>38</v>
      </c>
      <c r="B25" t="s">
        <v>67</v>
      </c>
      <c r="D25">
        <v>4</v>
      </c>
      <c r="E25" t="s">
        <v>67</v>
      </c>
      <c r="G25" t="s">
        <v>67</v>
      </c>
      <c r="H25" s="4">
        <v>0.34897603085682799</v>
      </c>
      <c r="I25" s="4">
        <v>3.6734319037560838E-2</v>
      </c>
      <c r="J25" t="s">
        <v>67</v>
      </c>
      <c r="K25" s="4">
        <f t="shared" si="0"/>
        <v>0.10526315789473684</v>
      </c>
    </row>
    <row r="26" spans="1:11">
      <c r="A26">
        <v>471</v>
      </c>
      <c r="B26" t="s">
        <v>68</v>
      </c>
      <c r="D26">
        <v>714</v>
      </c>
      <c r="E26" t="s">
        <v>68</v>
      </c>
      <c r="G26" t="s">
        <v>68</v>
      </c>
      <c r="H26" s="4">
        <v>4.3254660666727887</v>
      </c>
      <c r="I26" s="4">
        <v>6.5570759482046101</v>
      </c>
      <c r="J26" t="s">
        <v>68</v>
      </c>
      <c r="K26" s="4">
        <f t="shared" si="0"/>
        <v>1.515923566878981</v>
      </c>
    </row>
    <row r="27" spans="1:11">
      <c r="A27">
        <v>16</v>
      </c>
      <c r="B27" t="s">
        <v>69</v>
      </c>
      <c r="D27">
        <v>3</v>
      </c>
      <c r="E27" t="s">
        <v>69</v>
      </c>
      <c r="G27" t="s">
        <v>69</v>
      </c>
      <c r="H27" s="4">
        <v>5.6939501779359425</v>
      </c>
      <c r="I27" s="4">
        <v>1.0676156583629894</v>
      </c>
      <c r="J27" t="s">
        <v>69</v>
      </c>
      <c r="K27" s="4">
        <f t="shared" si="0"/>
        <v>0.18750000000000003</v>
      </c>
    </row>
    <row r="28" spans="1:11">
      <c r="A28">
        <v>7</v>
      </c>
      <c r="B28" t="s">
        <v>70</v>
      </c>
      <c r="D28">
        <v>81</v>
      </c>
      <c r="E28" t="s">
        <v>70</v>
      </c>
      <c r="G28" t="s">
        <v>70</v>
      </c>
      <c r="H28" s="4">
        <v>2.4911032028469751</v>
      </c>
      <c r="I28" s="4">
        <v>28.825622775800714</v>
      </c>
      <c r="J28" t="s">
        <v>70</v>
      </c>
      <c r="K28" s="4">
        <f t="shared" si="0"/>
        <v>11.571428571428573</v>
      </c>
    </row>
    <row r="29" spans="1:11">
      <c r="A29">
        <v>36</v>
      </c>
      <c r="B29" t="s">
        <v>71</v>
      </c>
      <c r="D29">
        <v>81</v>
      </c>
      <c r="E29" t="s">
        <v>71</v>
      </c>
      <c r="G29" t="s">
        <v>71</v>
      </c>
      <c r="H29" s="4">
        <v>12.811387900355871</v>
      </c>
      <c r="I29" s="4">
        <v>28.825622775800714</v>
      </c>
      <c r="J29" t="s">
        <v>71</v>
      </c>
      <c r="K29" s="4">
        <f t="shared" si="0"/>
        <v>2.25</v>
      </c>
    </row>
    <row r="30" spans="1:11">
      <c r="A30">
        <v>6</v>
      </c>
      <c r="B30" t="s">
        <v>72</v>
      </c>
      <c r="D30">
        <v>32</v>
      </c>
      <c r="E30" t="s">
        <v>72</v>
      </c>
      <c r="G30" t="s">
        <v>72</v>
      </c>
      <c r="H30" s="4">
        <v>2.1352313167259789</v>
      </c>
      <c r="I30" s="4">
        <v>11.387900355871885</v>
      </c>
      <c r="J30" t="s">
        <v>72</v>
      </c>
      <c r="K30" s="4">
        <f t="shared" si="0"/>
        <v>5.3333333333333321</v>
      </c>
    </row>
    <row r="31" spans="1:11">
      <c r="A31">
        <v>16</v>
      </c>
      <c r="B31" t="s">
        <v>73</v>
      </c>
      <c r="D31">
        <v>10</v>
      </c>
      <c r="E31" t="s">
        <v>73</v>
      </c>
      <c r="G31" t="s">
        <v>73</v>
      </c>
      <c r="H31" s="4">
        <v>5.6939501779359425</v>
      </c>
      <c r="I31" s="4">
        <v>3.5587188612099649</v>
      </c>
      <c r="J31" t="s">
        <v>73</v>
      </c>
      <c r="K31" s="4">
        <f t="shared" si="0"/>
        <v>0.62500000000000011</v>
      </c>
    </row>
    <row r="32" spans="1:11">
      <c r="A32">
        <v>5</v>
      </c>
      <c r="B32" t="s">
        <v>74</v>
      </c>
      <c r="D32">
        <v>15</v>
      </c>
      <c r="E32" t="s">
        <v>74</v>
      </c>
      <c r="G32" t="s">
        <v>74</v>
      </c>
      <c r="H32" s="4">
        <v>1.7793594306049825</v>
      </c>
      <c r="I32" s="4">
        <v>5.3380782918149468</v>
      </c>
      <c r="J32" t="s">
        <v>74</v>
      </c>
      <c r="K32" s="4">
        <f t="shared" si="0"/>
        <v>2.9999999999999996</v>
      </c>
    </row>
    <row r="33" spans="1:11">
      <c r="A33">
        <v>8</v>
      </c>
      <c r="B33" t="s">
        <v>75</v>
      </c>
      <c r="D33">
        <v>259</v>
      </c>
      <c r="E33" t="s">
        <v>75</v>
      </c>
      <c r="G33" t="s">
        <v>75</v>
      </c>
      <c r="H33" s="4">
        <v>2.8469750889679712</v>
      </c>
      <c r="I33" s="4">
        <v>92.170818505338076</v>
      </c>
      <c r="J33" t="s">
        <v>75</v>
      </c>
      <c r="K33" s="4">
        <f t="shared" si="0"/>
        <v>32.375</v>
      </c>
    </row>
    <row r="34" spans="1:11">
      <c r="A34">
        <v>19</v>
      </c>
      <c r="B34" t="s">
        <v>76</v>
      </c>
      <c r="D34">
        <v>373</v>
      </c>
      <c r="E34" t="s">
        <v>76</v>
      </c>
      <c r="G34" t="s">
        <v>76</v>
      </c>
      <c r="H34" s="4">
        <v>6.7615658362989333</v>
      </c>
      <c r="I34" s="4">
        <v>132.74021352313167</v>
      </c>
      <c r="J34" t="s">
        <v>76</v>
      </c>
      <c r="K34" s="4">
        <f t="shared" si="0"/>
        <v>19.631578947368418</v>
      </c>
    </row>
    <row r="35" spans="1:11">
      <c r="A35">
        <v>2</v>
      </c>
      <c r="B35" t="s">
        <v>77</v>
      </c>
      <c r="D35">
        <v>235</v>
      </c>
      <c r="E35" t="s">
        <v>77</v>
      </c>
      <c r="G35" t="s">
        <v>77</v>
      </c>
      <c r="H35" s="4">
        <v>0.71174377224199281</v>
      </c>
      <c r="I35" s="4">
        <v>83.629893238434164</v>
      </c>
      <c r="J35" t="s">
        <v>77</v>
      </c>
      <c r="K35" s="4">
        <f t="shared" si="0"/>
        <v>117.50000000000001</v>
      </c>
    </row>
    <row r="36" spans="1:11">
      <c r="A36">
        <v>40</v>
      </c>
      <c r="B36" t="s">
        <v>78</v>
      </c>
      <c r="D36">
        <v>122</v>
      </c>
      <c r="E36" t="s">
        <v>78</v>
      </c>
      <c r="G36" t="s">
        <v>78</v>
      </c>
      <c r="H36" s="4">
        <v>14.23487544483986</v>
      </c>
      <c r="I36" s="4">
        <v>43.416370106761562</v>
      </c>
      <c r="J36" t="s">
        <v>78</v>
      </c>
      <c r="K36" s="4">
        <f t="shared" si="0"/>
        <v>3.0499999999999994</v>
      </c>
    </row>
    <row r="37" spans="1:11">
      <c r="A37">
        <v>10</v>
      </c>
      <c r="B37" t="s">
        <v>79</v>
      </c>
      <c r="D37">
        <v>31</v>
      </c>
      <c r="E37" t="s">
        <v>79</v>
      </c>
      <c r="G37" t="s">
        <v>79</v>
      </c>
      <c r="H37" s="4">
        <v>3.5587188612099649</v>
      </c>
      <c r="I37" s="4">
        <v>11.032028469750891</v>
      </c>
      <c r="J37" t="s">
        <v>79</v>
      </c>
      <c r="K37" s="4">
        <f t="shared" si="0"/>
        <v>3.1</v>
      </c>
    </row>
    <row r="38" spans="1:11">
      <c r="A38">
        <v>5</v>
      </c>
      <c r="B38" t="s">
        <v>80</v>
      </c>
      <c r="D38">
        <v>7</v>
      </c>
      <c r="E38" t="s">
        <v>80</v>
      </c>
      <c r="G38" t="s">
        <v>80</v>
      </c>
      <c r="H38" s="4">
        <v>1.7793594306049825</v>
      </c>
      <c r="I38" s="4">
        <v>2.4911032028469751</v>
      </c>
      <c r="J38" t="s">
        <v>80</v>
      </c>
      <c r="K38" s="4">
        <f t="shared" si="0"/>
        <v>1.3999999999999997</v>
      </c>
    </row>
    <row r="39" spans="1:11">
      <c r="A39">
        <v>11</v>
      </c>
      <c r="B39" t="s">
        <v>81</v>
      </c>
      <c r="D39">
        <v>45</v>
      </c>
      <c r="E39" t="s">
        <v>81</v>
      </c>
      <c r="G39" t="s">
        <v>81</v>
      </c>
      <c r="H39" s="4">
        <v>3.9145907473309607</v>
      </c>
      <c r="I39" s="4">
        <v>16.014234875444842</v>
      </c>
      <c r="J39" t="s">
        <v>81</v>
      </c>
      <c r="K39" s="4">
        <f t="shared" si="0"/>
        <v>4.0909090909090917</v>
      </c>
    </row>
    <row r="40" spans="1:11">
      <c r="A40">
        <v>2</v>
      </c>
      <c r="B40" t="s">
        <v>82</v>
      </c>
      <c r="D40">
        <v>0</v>
      </c>
      <c r="E40" t="s">
        <v>82</v>
      </c>
      <c r="G40" t="s">
        <v>82</v>
      </c>
      <c r="H40" s="4">
        <v>0.71174377224199281</v>
      </c>
      <c r="I40" s="4">
        <v>0</v>
      </c>
      <c r="J40" t="s">
        <v>82</v>
      </c>
      <c r="K40" s="4">
        <f t="shared" si="0"/>
        <v>0</v>
      </c>
    </row>
    <row r="41" spans="1:11">
      <c r="A41">
        <v>3</v>
      </c>
      <c r="B41" t="s">
        <v>83</v>
      </c>
      <c r="D41">
        <v>73</v>
      </c>
      <c r="E41" t="s">
        <v>83</v>
      </c>
      <c r="G41" t="s">
        <v>83</v>
      </c>
      <c r="H41" s="4">
        <v>1.0676156583629894</v>
      </c>
      <c r="I41" s="4">
        <v>25.978647686832741</v>
      </c>
      <c r="J41" t="s">
        <v>83</v>
      </c>
      <c r="K41" s="4">
        <f t="shared" si="0"/>
        <v>24.333333333333332</v>
      </c>
    </row>
    <row r="42" spans="1:11">
      <c r="A42">
        <v>25</v>
      </c>
      <c r="B42" t="s">
        <v>84</v>
      </c>
      <c r="D42">
        <v>124</v>
      </c>
      <c r="E42" t="s">
        <v>84</v>
      </c>
      <c r="G42" t="s">
        <v>84</v>
      </c>
      <c r="H42" s="4">
        <v>8.8967971530249113</v>
      </c>
      <c r="I42" s="4">
        <v>44.128113879003564</v>
      </c>
      <c r="J42" t="s">
        <v>84</v>
      </c>
      <c r="K42" s="4">
        <f t="shared" si="0"/>
        <v>4.9600000000000009</v>
      </c>
    </row>
    <row r="43" spans="1:11">
      <c r="A43">
        <v>5</v>
      </c>
      <c r="B43" t="s">
        <v>85</v>
      </c>
      <c r="D43">
        <v>70</v>
      </c>
      <c r="E43" t="s">
        <v>85</v>
      </c>
      <c r="G43" t="s">
        <v>85</v>
      </c>
      <c r="H43" s="4">
        <v>1.7793594306049825</v>
      </c>
      <c r="I43" s="4">
        <v>24.911032028469752</v>
      </c>
      <c r="J43" t="s">
        <v>85</v>
      </c>
      <c r="K43" s="4">
        <f t="shared" si="0"/>
        <v>13.999999999999998</v>
      </c>
    </row>
    <row r="44" spans="1:11">
      <c r="A44">
        <v>17</v>
      </c>
      <c r="B44" t="s">
        <v>86</v>
      </c>
      <c r="D44">
        <v>137</v>
      </c>
      <c r="E44" t="s">
        <v>86</v>
      </c>
      <c r="G44" t="s">
        <v>86</v>
      </c>
      <c r="H44" s="4">
        <v>6.0498220640569391</v>
      </c>
      <c r="I44" s="4">
        <v>48.754448398576514</v>
      </c>
      <c r="J44" t="s">
        <v>86</v>
      </c>
      <c r="K44" s="4">
        <f t="shared" si="0"/>
        <v>8.0588235294117663</v>
      </c>
    </row>
    <row r="45" spans="1:11">
      <c r="A45">
        <v>9</v>
      </c>
      <c r="B45" t="s">
        <v>87</v>
      </c>
      <c r="D45">
        <v>240</v>
      </c>
      <c r="E45" t="s">
        <v>87</v>
      </c>
      <c r="G45" t="s">
        <v>87</v>
      </c>
      <c r="H45" s="4">
        <v>3.2028469750889679</v>
      </c>
      <c r="I45" s="4">
        <v>85.409252669039148</v>
      </c>
      <c r="J45" t="s">
        <v>87</v>
      </c>
      <c r="K45" s="4">
        <f t="shared" si="0"/>
        <v>26.666666666666668</v>
      </c>
    </row>
    <row r="46" spans="1:11">
      <c r="A46">
        <v>18</v>
      </c>
      <c r="B46" t="s">
        <v>88</v>
      </c>
      <c r="D46">
        <v>153</v>
      </c>
      <c r="E46" t="s">
        <v>88</v>
      </c>
      <c r="G46" t="s">
        <v>88</v>
      </c>
      <c r="H46" s="4">
        <v>6.4056939501779357</v>
      </c>
      <c r="I46" s="4">
        <v>54.44839857651246</v>
      </c>
      <c r="J46" t="s">
        <v>88</v>
      </c>
      <c r="K46" s="4">
        <f t="shared" si="0"/>
        <v>8.5000000000000018</v>
      </c>
    </row>
    <row r="47" spans="1:11">
      <c r="A47">
        <v>8</v>
      </c>
      <c r="B47" t="s">
        <v>89</v>
      </c>
      <c r="D47">
        <v>61</v>
      </c>
      <c r="E47" t="s">
        <v>89</v>
      </c>
      <c r="G47" t="s">
        <v>89</v>
      </c>
      <c r="H47" s="4">
        <v>2.8469750889679712</v>
      </c>
      <c r="I47" s="4">
        <v>21.708185053380781</v>
      </c>
      <c r="J47" t="s">
        <v>89</v>
      </c>
      <c r="K47" s="4">
        <f t="shared" si="0"/>
        <v>7.625</v>
      </c>
    </row>
    <row r="48" spans="1:11">
      <c r="A48">
        <v>1</v>
      </c>
      <c r="B48" t="s">
        <v>90</v>
      </c>
      <c r="D48">
        <v>0</v>
      </c>
      <c r="E48" t="s">
        <v>90</v>
      </c>
      <c r="G48" t="s">
        <v>90</v>
      </c>
      <c r="H48" s="4">
        <v>0.35587188612099641</v>
      </c>
      <c r="I48" s="4">
        <v>0</v>
      </c>
      <c r="J48" t="s">
        <v>90</v>
      </c>
      <c r="K48" s="4">
        <f t="shared" si="0"/>
        <v>0</v>
      </c>
    </row>
    <row r="49" spans="1:11">
      <c r="A49">
        <v>11</v>
      </c>
      <c r="B49" t="s">
        <v>91</v>
      </c>
      <c r="D49">
        <v>17</v>
      </c>
      <c r="E49" t="s">
        <v>91</v>
      </c>
      <c r="G49" t="s">
        <v>91</v>
      </c>
      <c r="H49" s="4">
        <v>3.9145907473309607</v>
      </c>
      <c r="I49" s="4">
        <v>6.0498220640569391</v>
      </c>
      <c r="J49" t="s">
        <v>91</v>
      </c>
      <c r="K49" s="4">
        <f t="shared" si="0"/>
        <v>1.5454545454545454</v>
      </c>
    </row>
    <row r="50" spans="1:11">
      <c r="A50">
        <v>1</v>
      </c>
      <c r="B50" t="s">
        <v>92</v>
      </c>
      <c r="D50">
        <v>3</v>
      </c>
      <c r="E50" t="s">
        <v>92</v>
      </c>
    </row>
    <row r="51" spans="1:11">
      <c r="A51">
        <v>8</v>
      </c>
      <c r="B51" t="s">
        <v>93</v>
      </c>
      <c r="D51">
        <v>3</v>
      </c>
      <c r="E51" t="s">
        <v>93</v>
      </c>
    </row>
  </sheetData>
  <mergeCells count="2">
    <mergeCell ref="A1:B1"/>
    <mergeCell ref="D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Michigan Medicine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Stewart, Joseph</dc:creator>
  <cp:keywords/>
  <dc:description/>
  <cp:lastModifiedBy>Mikael Dunn</cp:lastModifiedBy>
  <cp:revision/>
  <dcterms:created xsi:type="dcterms:W3CDTF">2025-12-01T20:22:40Z</dcterms:created>
  <dcterms:modified xsi:type="dcterms:W3CDTF">2025-12-04T15:52:36Z</dcterms:modified>
  <cp:category/>
  <cp:contentStatus/>
</cp:coreProperties>
</file>